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1809de880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01f63bcda24ee3"/>
    <x:sheet xmlns:r="http://schemas.openxmlformats.org/officeDocument/2006/relationships" name="DCF" sheetId="2" r:id="Rc09d2e78988d4b5d"/>
    <x:sheet xmlns:r="http://schemas.openxmlformats.org/officeDocument/2006/relationships" name="LBO" sheetId="3" r:id="R274336d9b19a4c80"/>
    <x:sheet xmlns:r="http://schemas.openxmlformats.org/officeDocument/2006/relationships" name="Restructuring" sheetId="4" r:id="R4117fa7b65714720"/>
    <x:sheet xmlns:r="http://schemas.openxmlformats.org/officeDocument/2006/relationships" name="Operations" sheetId="5" r:id="R03f6f6b4478646c4"/>
    <x:sheet xmlns:r="http://schemas.openxmlformats.org/officeDocument/2006/relationships" name="Assumptions" sheetId="6" r:id="R2d09b4c2f009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(#,##0.0);&quot;-&quot;"/>
    <x:numFmt numFmtId="201" formatCode="0"/>
    <x:numFmt numFmtId="202" formatCode="0.0%;(0.0%);&quot;-&quot;"/>
    <x:numFmt numFmtId="203" formatCode="0.00&quot;x&quot;"/>
    <x:numFmt numFmtId="204" formatCode="0.000"/>
    <x:numFmt numFmtId="205" formatCode=";;;"/>
    <x:numFmt numFmtId="206" formatCode="0.00"/>
  </x:numFmts>
  <x:fonts count="14">
    <x:font>
      <x:sz val="11"/>
      <x:name val="Carlito"/>
    </x:font>
    <x:font>
      <x:sz val="10"/>
      <x:color rgb="FF111111"/>
      <x:name val="Arial"/>
    </x:font>
    <x:font>
      <x:sz val="10"/>
      <x:color rgb="FF167247"/>
      <x:name val="Arial"/>
    </x:font>
    <x:font>
      <x:b/>
      <x:sz val="10"/>
      <x:color rgb="FF167247"/>
      <x:name val="Arial"/>
    </x:font>
    <x:font>
      <x:b/>
      <x:sz val="15"/>
      <x:color rgb="FF162D4B"/>
      <x:name val="Arial"/>
    </x:font>
    <x:font>
      <x:sz val="10"/>
      <x:color rgb="FF1759AD"/>
      <x:name val="Arial"/>
    </x:font>
    <x:font>
      <x:b/>
      <x:sz val="10"/>
      <x:color rgb="FFFFFFFF"/>
      <x:name val="Arial"/>
    </x:font>
    <x:font>
      <x:i/>
      <x:sz val="10"/>
      <x:color rgb="FF1759AD"/>
      <x:name val="Arial"/>
    </x:font>
    <x:font>
      <x:i/>
      <x:sz val="10"/>
      <x:color rgb="FF111111"/>
      <x:name val="Arial"/>
    </x:font>
    <x:font>
      <x:i/>
      <x:sz val="10"/>
      <x:color rgb="FF167247"/>
      <x:name val="Arial"/>
    </x:font>
    <x:font>
      <x:b/>
      <x:sz val="10"/>
      <x:color rgb="FF111111"/>
      <x:name val="Arial"/>
    </x:font>
    <x:font>
      <x:b/>
      <x:i/>
      <x:sz val="10"/>
      <x:color rgb="FF111111"/>
      <x:name val="Arial"/>
    </x:font>
    <x:font>
      <x:sz val="10"/>
      <x:color rgb="FF162D4B"/>
      <x:name val="Arial"/>
    </x:font>
    <x:font>
      <x:i/>
      <x:sz val="10"/>
      <x:color rgb="FF162D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CE"/>
      </x:patternFill>
    </x:fill>
    <x:fill>
      <x:patternFill patternType="solid">
        <x:fgColor rgb="FF162D4B"/>
      </x:patternFill>
    </x:fill>
    <x:fill>
      <x:patternFill patternType="solid">
        <x:fgColor rgb="FFE9EEF4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A3ADBB"/>
      </x:top>
      <x:bottom/>
      <x:diagonal/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201" fontId="5" fillId="2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200" fontId="5" fillId="0" borderId="0" xfId="0" applyNumberFormat="1" applyFont="1" applyFill="1" applyBorder="1"/>
    <x:xf numFmtId="200" fontId="5" fillId="2" borderId="0" xfId="0" applyNumberFormat="1" applyFont="1" applyFill="1" applyBorder="1"/>
    <x:xf numFmtId="202" fontId="5" fillId="2" borderId="0" xfId="0" applyNumberFormat="1" applyFont="1" applyFill="1" applyBorder="1"/>
    <x:xf numFmtId="202" fontId="7" fillId="2" borderId="0" xfId="0" applyNumberFormat="1" applyFont="1" applyFill="1" applyBorder="1"/>
    <x:xf numFmtId="203" fontId="5" fillId="2" borderId="0" xfId="0" applyNumberFormat="1" applyFont="1" applyFill="1" applyBorder="1"/>
    <x:xf numFmtId="203" fontId="7" fillId="2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6" fillId="3" borderId="0" xfId="0" applyNumberFormat="1" applyFont="1" applyFill="1" applyBorder="1"/>
    <x:xf numFmtId="201" fontId="6" fillId="3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/>
    <x:xf numFmtId="202" fontId="8" fillId="0" borderId="0" xfId="0" applyNumberFormat="1" applyFont="1" applyFill="1" applyBorder="1"/>
    <x:xf numFmtId="0" fontId="1" fillId="4" borderId="0" xfId="0" applyNumberFormat="1" applyFont="1" applyFill="1" applyBorder="1"/>
    <x:xf numFmtId="202" fontId="8" fillId="4" borderId="0" xfId="0" applyNumberFormat="1" applyFont="1" applyFill="1" applyBorder="1"/>
    <x:xf numFmtId="200" fontId="2" fillId="0" borderId="0" xfId="0" applyNumberFormat="1" applyFont="1" applyFill="1" applyBorder="1"/>
    <x:xf numFmtId="202" fontId="2" fillId="0" borderId="0" xfId="0" applyNumberFormat="1" applyFont="1" applyFill="1" applyBorder="1"/>
    <x:xf numFmtId="202" fontId="9" fillId="0" borderId="0" xfId="0" applyNumberFormat="1" applyFont="1" applyFill="1" applyBorder="1"/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3" fillId="0" borderId="1" xfId="0" applyNumberFormat="1" applyFont="1" applyFill="1" applyBorder="1"/>
    <x:xf numFmtId="200" fontId="10" fillId="0" borderId="1" xfId="0" applyNumberFormat="1" applyFont="1" applyFill="1" applyBorder="1"/>
    <x:xf numFmtId="204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6" fillId="3" borderId="0" xfId="0" applyNumberFormat="1" applyFont="1" applyFill="1" applyBorder="1"/>
    <x:xf numFmtId="205" fontId="1" fillId="0" borderId="0" xfId="0" applyNumberFormat="1" applyFont="1" applyFill="1" applyBorder="1"/>
    <x:xf numFmtId="203" fontId="1" fillId="0" borderId="0" xfId="0" applyNumberFormat="1" applyFont="1" applyFill="1" applyBorder="1"/>
    <x:xf numFmtId="203" fontId="8" fillId="0" borderId="0" xfId="0" applyNumberFormat="1" applyFont="1" applyFill="1" applyBorder="1"/>
    <x:xf numFmtId="206" fontId="1" fillId="0" borderId="0" xfId="0" applyNumberFormat="1" applyFont="1" applyFill="1" applyBorder="1"/>
    <x:xf numFmtId="206" fontId="10" fillId="0" borderId="0" xfId="0" applyNumberFormat="1" applyFont="1" applyFill="1" applyBorder="1"/>
    <x:xf numFmtId="206" fontId="10" fillId="0" borderId="1" xfId="0" applyNumberFormat="1" applyFont="1" applyFill="1" applyBorder="1"/>
    <x:xf numFmtId="203" fontId="11" fillId="0" borderId="0" xfId="0" applyNumberFormat="1" applyFont="1" applyFill="1" applyBorder="1"/>
    <x:xf numFmtId="203" fontId="11" fillId="0" borderId="1" xfId="0" applyNumberFormat="1" applyFont="1" applyFill="1" applyBorder="1"/>
    <x:xf numFmtId="202" fontId="11" fillId="0" borderId="0" xfId="0" applyNumberFormat="1" applyFont="1" applyFill="1" applyBorder="1"/>
    <x:xf numFmtId="202" fontId="11" fillId="0" borderId="1" xfId="0" applyNumberFormat="1" applyFont="1" applyFill="1" applyBorder="1"/>
    <x:xf numFmtId="203" fontId="2" fillId="0" borderId="0" xfId="0" applyNumberFormat="1" applyFont="1" applyFill="1" applyBorder="1"/>
    <x:xf numFmtId="203" fontId="9" fillId="0" borderId="0" xfId="0" applyNumberFormat="1" applyFont="1" applyFill="1" applyBorder="1"/>
    <x:xf numFmtId="200" fontId="12" fillId="0" borderId="0" xfId="0" applyNumberFormat="1" applyFont="1" applyFill="1" applyBorder="1"/>
    <x:xf numFmtId="202" fontId="12" fillId="0" borderId="0" xfId="0" applyNumberFormat="1" applyFont="1" applyFill="1" applyBorder="1"/>
    <x:xf numFmtId="202" fontId="13" fillId="0" borderId="0" xfId="0" applyNumberFormat="1" applyFont="1" applyFill="1" applyBorder="1"/>
    <x:xf numFmtId="203" fontId="12" fillId="0" borderId="0" xfId="0" applyNumberFormat="1" applyFont="1" applyFill="1" applyBorder="1"/>
    <x:xf numFmtId="203" fontId="13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A51D25"/>
      </x:font>
      <x:fill>
        <x:patternFill patternType="solid">
          <x:bgColor rgb="FFFDE2E2"/>
        </x:patternFill>
      </x:fill>
    </x:dxf>
    <x:dxf>
      <x:font>
        <x:b/>
        <x:color rgb="FFA51D25"/>
      </x:font>
      <x:fill>
        <x:patternFill patternType="solid">
          <x:bgColor rgb="FFFDE2E2"/>
        </x:patternFill>
      </x:fill>
    </x:dxf>
    <x:dxf>
      <x:font>
        <x:b/>
        <x:color rgb="FFA51D25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74a7badff4e57" /><Relationship Type="http://schemas.openxmlformats.org/officeDocument/2006/relationships/theme" Target="/xl/theme/theme1.xml" Id="Rbf19a915b0f94727" /><Relationship Type="http://schemas.openxmlformats.org/officeDocument/2006/relationships/sharedStrings" Target="/xl/sharedStrings.xml" Id="R7effcf22ab1841dc" /><Relationship Type="http://schemas.openxmlformats.org/officeDocument/2006/relationships/worksheet" Target="/xl/worksheets/sheet1.xml" Id="Rbb01f63bcda24ee3" /><Relationship Type="http://schemas.openxmlformats.org/officeDocument/2006/relationships/worksheet" Target="/xl/worksheets/sheet2.xml" Id="Rc09d2e78988d4b5d" /><Relationship Type="http://schemas.openxmlformats.org/officeDocument/2006/relationships/worksheet" Target="/xl/worksheets/sheet3.xml" Id="R274336d9b19a4c80" /><Relationship Type="http://schemas.openxmlformats.org/officeDocument/2006/relationships/worksheet" Target="/xl/worksheets/sheet4.xml" Id="R4117fa7b65714720" /><Relationship Type="http://schemas.openxmlformats.org/officeDocument/2006/relationships/worksheet" Target="/xl/worksheets/sheet5.xml" Id="R03f6f6b4478646c4" /><Relationship Type="http://schemas.openxmlformats.org/officeDocument/2006/relationships/worksheet" Target="/xl/worksheets/sheet6.xml" Id="R2d09b4c2f00949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2D4B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37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/>
      <x:c r="B2" s="1"/>
      <x:c r="C2" s="5" t="str">
        <x:v>Valuation, sponsor returns and creditor outcomes</x:v>
      </x:c>
      <x:c r="D2" s="5"/>
      <x:c r="E2" s="5"/>
      <x:c r="F2" s="5"/>
      <x:c r="G2" s="5"/>
      <x:c r="H2" s="5"/>
      <x:c r="I2" s="5"/>
      <x:c r="J2" s="5"/>
      <x:c r="K2" s="5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 t="str">
        <x:v>Aster Precision Components - fictional company; GBP million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1"/>
      <x:c r="B4" s="1"/>
      <x:c r="C4" s="1" t="str">
        <x:v>Case selected:</x:v>
      </x:c>
      <x:c r="D4" s="1"/>
      <x:c r="E4" s="1"/>
      <x:c r="F4" s="1"/>
      <x:c r="G4" s="4" t="str">
        <x:f>'Assumptions'!G3</x:f>
        <x:v>Base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4" customHeight="1">
      <x:c r="A6" s="1"/>
      <x:c r="B6" s="1"/>
      <x:c r="C6" s="10" t="str">
        <x:v>Active case results</x:v>
      </x:c>
      <x:c r="D6" s="10"/>
      <x:c r="E6" s="10"/>
      <x:c r="F6" s="10"/>
      <x:c r="G6" s="10"/>
      <x:c r="H6" s="10"/>
      <x:c r="I6" s="10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1"/>
      <x:c r="B7" s="1"/>
      <x:c r="C7" s="1"/>
      <x:c r="D7" s="1"/>
      <x:c r="E7" s="2"/>
      <x:c r="F7" s="2"/>
      <x:c r="G7" s="2"/>
      <x:c r="H7" s="2"/>
      <x:c r="I7" s="2"/>
      <x:c r="J7" s="2"/>
      <x:c r="K7" s="2"/>
      <x:c r="L7" s="1"/>
      <x:c r="M7" s="1"/>
      <x:c r="N7" s="1"/>
      <x:c r="O7" s="1"/>
      <x:c r="P7" s="1"/>
      <x:c r="Q7" s="1"/>
    </x:row>
    <x:row r="8" ht="21" customHeight="1">
      <x:c r="A8" s="1"/>
      <x:c r="B8" s="1"/>
      <x:c r="C8" s="1" t="str">
        <x:v>DCF enterprise value</x:v>
      </x:c>
      <x:c r="D8" s="1"/>
      <x:c r="E8" s="2"/>
      <x:c r="F8" s="2"/>
      <x:c r="G8" s="48" t="n">
        <x:f>'DCF'!E22</x:f>
        <x:v>76.90062894700303</x:v>
      </x:c>
      <x:c r="H8" s="2"/>
      <x:c r="I8" s="2"/>
      <x:c r="J8" s="2"/>
      <x:c r="K8" s="2"/>
      <x:c r="L8" s="1"/>
      <x:c r="M8" s="1"/>
      <x:c r="N8" s="1"/>
      <x:c r="O8" s="1"/>
      <x:c r="P8" s="1"/>
      <x:c r="Q8" s="1"/>
    </x:row>
    <x:row r="9" ht="21" customHeight="1">
      <x:c r="A9" s="1"/>
      <x:c r="B9" s="1"/>
      <x:c r="C9" s="1" t="str">
        <x:v>Senior secured reference recovery</x:v>
      </x:c>
      <x:c r="D9" s="1"/>
      <x:c r="E9" s="2"/>
      <x:c r="F9" s="2"/>
      <x:c r="G9" s="50" t="n">
        <x:f>'Restructuring'!G30</x:f>
        <x:v>1</x:v>
      </x:c>
      <x:c r="H9" s="2"/>
      <x:c r="I9" s="2"/>
      <x:c r="J9" s="2"/>
      <x:c r="K9" s="2"/>
      <x:c r="L9" s="1"/>
      <x:c r="M9" s="1"/>
      <x:c r="N9" s="1"/>
      <x:c r="O9" s="1"/>
      <x:c r="P9" s="1"/>
      <x:c r="Q9" s="1"/>
    </x:row>
    <x:row r="10" ht="21" customHeight="1">
      <x:c r="A10" s="1"/>
      <x:c r="B10" s="1"/>
      <x:c r="C10" s="1" t="str">
        <x:v>Unsecured reference recovery</x:v>
      </x:c>
      <x:c r="D10" s="1"/>
      <x:c r="E10" s="2"/>
      <x:c r="F10" s="2"/>
      <x:c r="G10" s="50" t="n">
        <x:f>'Restructuring'!G31</x:f>
        <x:v>0.8543036842000865</x:v>
      </x:c>
      <x:c r="H10" s="2"/>
      <x:c r="I10" s="2"/>
      <x:c r="J10" s="2"/>
      <x:c r="K10" s="2"/>
      <x:c r="L10" s="1"/>
      <x:c r="M10" s="1"/>
      <x:c r="N10" s="1"/>
      <x:c r="O10" s="1"/>
      <x:c r="P10" s="1"/>
      <x:c r="Q10" s="1"/>
    </x:row>
    <x:row r="11" ht="21" customHeight="1">
      <x:c r="A11" s="1"/>
      <x:c r="B11" s="1"/>
      <x:c r="C11" s="1" t="str">
        <x:v>Cumulative funding gap at end-2028</x:v>
      </x:c>
      <x:c r="D11" s="1"/>
      <x:c r="E11" s="2"/>
      <x:c r="F11" s="2"/>
      <x:c r="G11" s="48" t="n">
        <x:f>'Restructuring'!G15</x:f>
        <x:v>33.311071999999996</x:v>
      </x:c>
      <x:c r="H11" s="2"/>
      <x:c r="I11" s="2"/>
      <x:c r="J11" s="2"/>
      <x:c r="K11" s="2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 t="str">
        <x:v>LBO annual sponsor IRR</x:v>
      </x:c>
      <x:c r="D12" s="1"/>
      <x:c r="E12" s="2"/>
      <x:c r="F12" s="2"/>
      <x:c r="G12" s="50" t="n">
        <x:f>'LBO'!E42</x:f>
        <x:v>0.11927095518631867</x:v>
      </x:c>
      <x:c r="H12" s="2"/>
      <x:c r="I12" s="2"/>
      <x:c r="J12" s="2"/>
      <x:c r="K12" s="2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1" t="str">
        <x:v>LBO sponsor MOIC</x:v>
      </x:c>
      <x:c r="D13" s="1"/>
      <x:c r="E13" s="2"/>
      <x:c r="F13" s="2"/>
      <x:c r="G13" s="52" t="n">
        <x:f>'LBO'!E41</x:f>
        <x:v>1.7536339191851706</x:v>
      </x:c>
      <x:c r="H13" s="2"/>
      <x:c r="I13" s="2"/>
      <x:c r="J13" s="2"/>
      <x:c r="K13" s="2"/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1" t="str">
        <x:v>Additional sponsor equity required</x:v>
      </x:c>
      <x:c r="D14" s="1"/>
      <x:c r="E14" s="2"/>
      <x:c r="F14" s="2"/>
      <x:c r="G14" s="48" t="n">
        <x:f>'LBO'!E43</x:f>
        <x:v>0.607499999999999</x:v>
      </x:c>
      <x:c r="H14" s="2"/>
      <x:c r="I14" s="2"/>
      <x:c r="J14" s="2"/>
      <x:c r="K14" s="2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 t="str">
        <x:v>DCF terminal value share</x:v>
      </x:c>
      <x:c r="D15" s="1"/>
      <x:c r="E15" s="2"/>
      <x:c r="F15" s="2"/>
      <x:c r="G15" s="50" t="n">
        <x:f>'DCF'!E23</x:f>
        <x:v>0.6639057398995317</x:v>
      </x:c>
      <x:c r="H15" s="2"/>
      <x:c r="I15" s="2"/>
      <x:c r="J15" s="2"/>
      <x:c r="K15" s="2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/>
      <x:c r="D16" s="1"/>
      <x:c r="E16" s="2"/>
      <x:c r="F16" s="2"/>
      <x:c r="G16" s="2"/>
      <x:c r="H16" s="2"/>
      <x:c r="I16" s="2"/>
      <x:c r="J16" s="2"/>
      <x:c r="K16" s="2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/>
      <x:c r="D17" s="1"/>
      <x:c r="E17" s="2"/>
      <x:c r="F17" s="2"/>
      <x:c r="G17" s="2"/>
      <x:c r="H17" s="2"/>
      <x:c r="I17" s="2"/>
      <x:c r="J17" s="2"/>
      <x:c r="K17" s="2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 t="str">
        <x:v>Read the assumptions before interpreting the outputs.</x:v>
      </x:c>
      <x:c r="D18" s="1"/>
      <x:c r="E18" s="2"/>
      <x:c r="F18" s="2"/>
      <x:c r="G18" s="2"/>
      <x:c r="H18" s="2"/>
      <x:c r="I18" s="2"/>
      <x:c r="J18" s="2"/>
      <x:c r="K18" s="2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/>
      <x:c r="D19" s="1"/>
      <x:c r="E19" s="2"/>
      <x:c r="F19" s="2"/>
      <x:c r="G19" s="2"/>
      <x:c r="H19" s="2"/>
      <x:c r="I19" s="2"/>
      <x:c r="J19" s="2"/>
      <x:c r="K19" s="2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 t="str">
        <x:v>DCF uses year-end FCFF and growth / ROIC terminal reinvestment.</x:v>
      </x:c>
      <x:c r="D20" s="1"/>
      <x:c r="E20" s="2"/>
      <x:c r="F20" s="2"/>
      <x:c r="G20" s="2"/>
      <x:c r="H20" s="2"/>
      <x:c r="I20" s="2"/>
      <x:c r="J20" s="2"/>
      <x:c r="K20" s="2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 t="str">
        <x:v>The LBO refinances the original debt; returns include additional sponsor funding.</x:v>
      </x:c>
      <x:c r="D21" s="1"/>
      <x:c r="E21" s="2"/>
      <x:c r="F21" s="2"/>
      <x:c r="G21" s="2"/>
      <x:c r="H21" s="2"/>
      <x:c r="I21" s="2"/>
      <x:c r="J21" s="2"/>
      <x:c r="K21" s="2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1" t="str">
        <x:v>Creditor allocations use assumed priority and reference values, not negotiated terms.</x:v>
      </x:c>
      <x:c r="D22" s="1"/>
      <x:c r="E22" s="2"/>
      <x:c r="F22" s="2"/>
      <x:c r="G22" s="2"/>
      <x:c r="H22" s="2"/>
      <x:c r="I22" s="2"/>
      <x:c r="J22" s="2"/>
      <x:c r="K22" s="2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/>
      <x:c r="D23" s="1"/>
      <x:c r="E23" s="2"/>
      <x:c r="F23" s="2"/>
      <x:c r="G23" s="2"/>
      <x:c r="H23" s="2"/>
      <x:c r="I23" s="2"/>
      <x:c r="J23" s="2"/>
      <x:c r="K23" s="2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 t="str">
        <x:v>Change Assumptions!D3 to compare Base and Downside using the same model.</x:v>
      </x:c>
      <x:c r="D24" s="1"/>
      <x:c r="E24" s="2"/>
      <x:c r="F24" s="2"/>
      <x:c r="G24" s="2"/>
      <x:c r="H24" s="2"/>
      <x:c r="I24" s="2"/>
      <x:c r="J24" s="2"/>
      <x:c r="K24" s="2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/>
      <x:c r="D25" s="1"/>
      <x:c r="E25" s="2"/>
      <x:c r="F25" s="2"/>
      <x:c r="G25" s="2"/>
      <x:c r="H25" s="2"/>
      <x:c r="I25" s="2"/>
      <x:c r="J25" s="2"/>
      <x:c r="K25" s="2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/>
      <x:c r="D26" s="1"/>
      <x:c r="E26" s="2"/>
      <x:c r="F26" s="2"/>
      <x:c r="G26" s="2"/>
      <x:c r="H26" s="2"/>
      <x:c r="I26" s="2"/>
      <x:c r="J26" s="2"/>
      <x:c r="K26" s="2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"/>
      <x:c r="D27" s="1"/>
      <x:c r="E27" s="2"/>
      <x:c r="F27" s="2"/>
      <x:c r="G27" s="2"/>
      <x:c r="H27" s="2"/>
      <x:c r="I27" s="2"/>
      <x:c r="J27" s="2"/>
      <x:c r="K27" s="2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/>
      <x:c r="D28" s="1"/>
      <x:c r="E28" s="2"/>
      <x:c r="F28" s="2"/>
      <x:c r="G28" s="2"/>
      <x:c r="H28" s="2"/>
      <x:c r="I28" s="2"/>
      <x:c r="J28" s="2"/>
      <x:c r="K28" s="2"/>
      <x:c r="L28" s="1"/>
      <x:c r="M28" s="1"/>
      <x:c r="N28" s="1"/>
      <x:c r="O28" s="1"/>
      <x:c r="P28" s="1"/>
      <x:c r="Q28" s="1"/>
    </x:row>
    <x:row r="29" ht="21" customHeight="1">
      <x:c r="A29" s="1"/>
      <x:c r="B29" s="1"/>
      <x:c r="C29" s="1"/>
      <x:c r="D29" s="1"/>
      <x:c r="E29" s="2"/>
      <x:c r="F29" s="2"/>
      <x:c r="G29" s="2"/>
      <x:c r="H29" s="2"/>
      <x:c r="I29" s="2"/>
      <x:c r="J29" s="2"/>
      <x:c r="K29" s="2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/>
      <x:c r="D30" s="1"/>
      <x:c r="E30" s="2"/>
      <x:c r="F30" s="2"/>
      <x:c r="G30" s="2"/>
      <x:c r="H30" s="2"/>
      <x:c r="I30" s="2"/>
      <x:c r="J30" s="2"/>
      <x:c r="K30" s="2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/>
      <x:c r="D31" s="1"/>
      <x:c r="E31" s="2"/>
      <x:c r="F31" s="2"/>
      <x:c r="G31" s="2"/>
      <x:c r="H31" s="2"/>
      <x:c r="I31" s="2"/>
      <x:c r="J31" s="2"/>
      <x:c r="K31" s="2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/>
      <x:c r="D32" s="1"/>
      <x:c r="E32" s="2"/>
      <x:c r="F32" s="2"/>
      <x:c r="G32" s="2"/>
      <x:c r="H32" s="2"/>
      <x:c r="I32" s="2"/>
      <x:c r="J32" s="2"/>
      <x:c r="K32" s="2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1"/>
      <x:c r="D33" s="1"/>
      <x:c r="E33" s="2"/>
      <x:c r="F33" s="2"/>
      <x:c r="G33" s="2"/>
      <x:c r="H33" s="2"/>
      <x:c r="I33" s="2"/>
      <x:c r="J33" s="2"/>
      <x:c r="K33" s="2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/>
      <x:c r="D34" s="1"/>
      <x:c r="E34" s="2"/>
      <x:c r="F34" s="2"/>
      <x:c r="G34" s="2"/>
      <x:c r="H34" s="2"/>
      <x:c r="I34" s="2"/>
      <x:c r="J34" s="2"/>
      <x:c r="K34" s="2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/>
      <x:c r="D35" s="1"/>
      <x:c r="E35" s="2"/>
      <x:c r="F35" s="2"/>
      <x:c r="G35" s="2"/>
      <x:c r="H35" s="2"/>
      <x:c r="I35" s="2"/>
      <x:c r="J35" s="2"/>
      <x:c r="K35" s="2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/>
      <x:c r="D36" s="1"/>
      <x:c r="E36" s="2"/>
      <x:c r="F36" s="2"/>
      <x:c r="G36" s="2"/>
      <x:c r="H36" s="2"/>
      <x:c r="I36" s="2"/>
      <x:c r="J36" s="2"/>
      <x:c r="K36" s="2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/>
      <x:c r="D37" s="1"/>
      <x:c r="E37" s="2"/>
      <x:c r="F37" s="2"/>
      <x:c r="G37" s="2"/>
      <x:c r="H37" s="2"/>
      <x:c r="I37" s="2"/>
      <x:c r="J37" s="2"/>
      <x:c r="K37" s="2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/>
      <x:c r="D38" s="1"/>
      <x:c r="E38" s="2"/>
      <x:c r="F38" s="2"/>
      <x:c r="G38" s="2"/>
      <x:c r="H38" s="2"/>
      <x:c r="I38" s="2"/>
      <x:c r="J38" s="2"/>
      <x:c r="K38" s="2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/>
      <x:c r="D39" s="1"/>
      <x:c r="E39" s="2"/>
      <x:c r="F39" s="2"/>
      <x:c r="G39" s="2"/>
      <x:c r="H39" s="2"/>
      <x:c r="I39" s="2"/>
      <x:c r="J39" s="2"/>
      <x:c r="K39" s="2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2"/>
      <x:c r="F40" s="2"/>
      <x:c r="G40" s="2"/>
      <x:c r="H40" s="2"/>
      <x:c r="I40" s="2"/>
      <x:c r="J40" s="2"/>
      <x:c r="K40" s="2"/>
      <x:c r="L40" s="1"/>
      <x:c r="M40" s="1"/>
      <x:c r="N40" s="1"/>
      <x:c r="O40" s="1"/>
      <x:c r="P40" s="1"/>
      <x:c r="Q40" s="1"/>
    </x:row>
    <x:row r="41" ht="21" customHeight="1">
      <x:c r="A41" s="1"/>
      <x:c r="B41" s="1"/>
      <x:c r="C41" s="1"/>
      <x:c r="D41" s="1"/>
      <x:c r="E41" s="2"/>
      <x:c r="F41" s="2"/>
      <x:c r="G41" s="2"/>
      <x:c r="H41" s="2"/>
      <x:c r="I41" s="2"/>
      <x:c r="J41" s="2"/>
      <x:c r="K41" s="2"/>
      <x:c r="L41" s="1"/>
      <x:c r="M41" s="1"/>
      <x:c r="N41" s="1"/>
      <x:c r="O41" s="1"/>
      <x:c r="P41" s="1"/>
      <x:c r="Q41" s="1"/>
    </x:row>
    <x:row r="42" ht="21" customHeight="1">
      <x:c r="A42" s="1"/>
      <x:c r="B42" s="1"/>
      <x:c r="C42" s="1"/>
      <x:c r="D42" s="1"/>
      <x:c r="E42" s="2"/>
      <x:c r="F42" s="2"/>
      <x:c r="G42" s="2"/>
      <x:c r="H42" s="2"/>
      <x:c r="I42" s="2"/>
      <x:c r="J42" s="2"/>
      <x:c r="K42" s="2"/>
      <x:c r="L42" s="1"/>
      <x:c r="M42" s="1"/>
      <x:c r="N42" s="1"/>
      <x:c r="O42" s="1"/>
      <x:c r="P42" s="1"/>
      <x:c r="Q42" s="1"/>
    </x:row>
    <x:row r="43" ht="21" customHeight="1">
      <x:c r="A43" s="1"/>
      <x:c r="B43" s="1"/>
      <x:c r="C43" s="1"/>
      <x:c r="D43" s="1"/>
      <x:c r="E43" s="2"/>
      <x:c r="F43" s="2"/>
      <x:c r="G43" s="2"/>
      <x:c r="H43" s="2"/>
      <x:c r="I43" s="2"/>
      <x:c r="J43" s="2"/>
      <x:c r="K43" s="2"/>
      <x:c r="L43" s="1"/>
      <x:c r="M43" s="1"/>
      <x:c r="N43" s="1"/>
      <x:c r="O43" s="1"/>
      <x:c r="P43" s="1"/>
      <x:c r="Q43" s="1"/>
    </x:row>
    <x:row r="44" ht="21" customHeight="1">
      <x:c r="A44" s="1"/>
      <x:c r="B44" s="1"/>
      <x:c r="C44" s="1"/>
      <x:c r="D44" s="1"/>
      <x:c r="E44" s="2"/>
      <x:c r="F44" s="2"/>
      <x:c r="G44" s="2"/>
      <x:c r="H44" s="2"/>
      <x:c r="I44" s="2"/>
      <x:c r="J44" s="2"/>
      <x:c r="K44" s="2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1"/>
      <x:c r="D45" s="1"/>
      <x:c r="E45" s="2"/>
      <x:c r="F45" s="2"/>
      <x:c r="G45" s="2"/>
      <x:c r="H45" s="2"/>
      <x:c r="I45" s="2"/>
      <x:c r="J45" s="2"/>
      <x:c r="K45" s="2"/>
      <x:c r="L45" s="1"/>
      <x:c r="M45" s="1"/>
      <x:c r="N45" s="1"/>
      <x:c r="O45" s="1"/>
      <x:c r="P45" s="1"/>
      <x:c r="Q45" s="1"/>
    </x:row>
    <x:row r="46" ht="21" customHeight="1">
      <x:c r="A46" s="1"/>
      <x:c r="B46" s="1"/>
      <x:c r="C46" s="1"/>
      <x:c r="D46" s="1"/>
      <x:c r="E46" s="2"/>
      <x:c r="F46" s="2"/>
      <x:c r="G46" s="2"/>
      <x:c r="H46" s="2"/>
      <x:c r="I46" s="2"/>
      <x:c r="J46" s="2"/>
      <x:c r="K46" s="2"/>
      <x:c r="L46" s="1"/>
      <x:c r="M46" s="1"/>
      <x:c r="N46" s="1"/>
      <x:c r="O46" s="1"/>
      <x:c r="P46" s="1"/>
      <x:c r="Q46" s="1"/>
    </x:row>
    <x:row r="47" ht="21" customHeight="1">
      <x:c r="A47" s="1"/>
      <x:c r="B47" s="1"/>
      <x:c r="C47" s="1"/>
      <x:c r="D47" s="1"/>
      <x:c r="E47" s="2"/>
      <x:c r="F47" s="2"/>
      <x:c r="G47" s="2"/>
      <x:c r="H47" s="2"/>
      <x:c r="I47" s="2"/>
      <x:c r="J47" s="2"/>
      <x:c r="K47" s="2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2"/>
      <x:c r="F48" s="2"/>
      <x:c r="G48" s="2"/>
      <x:c r="H48" s="2"/>
      <x:c r="I48" s="2"/>
      <x:c r="J48" s="2"/>
      <x:c r="K48" s="2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2"/>
      <x:c r="F49" s="2"/>
      <x:c r="G49" s="2"/>
      <x:c r="H49" s="2"/>
      <x:c r="I49" s="2"/>
      <x:c r="J49" s="2"/>
      <x:c r="K49" s="2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/>
      <x:c r="D50" s="1"/>
      <x:c r="E50" s="2"/>
      <x:c r="F50" s="2"/>
      <x:c r="G50" s="2"/>
      <x:c r="H50" s="2"/>
      <x:c r="I50" s="2"/>
      <x:c r="J50" s="2"/>
      <x:c r="K50" s="2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/>
      <x:c r="D51" s="1"/>
      <x:c r="E51" s="2"/>
      <x:c r="F51" s="2"/>
      <x:c r="G51" s="2"/>
      <x:c r="H51" s="2"/>
      <x:c r="I51" s="2"/>
      <x:c r="J51" s="2"/>
      <x:c r="K51" s="2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/>
      <x:c r="D52" s="1"/>
      <x:c r="E52" s="2"/>
      <x:c r="F52" s="2"/>
      <x:c r="G52" s="2"/>
      <x:c r="H52" s="2"/>
      <x:c r="I52" s="2"/>
      <x:c r="J52" s="2"/>
      <x:c r="K52" s="2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2"/>
      <x:c r="F53" s="2"/>
      <x:c r="G53" s="2"/>
      <x:c r="H53" s="2"/>
      <x:c r="I53" s="2"/>
      <x:c r="J53" s="2"/>
      <x:c r="K53" s="2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2"/>
      <x:c r="F54" s="2"/>
      <x:c r="G54" s="2"/>
      <x:c r="H54" s="2"/>
      <x:c r="I54" s="2"/>
      <x:c r="J54" s="2"/>
      <x:c r="K54" s="2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2"/>
      <x:c r="F55" s="2"/>
      <x:c r="G55" s="2"/>
      <x:c r="H55" s="2"/>
      <x:c r="I55" s="2"/>
      <x:c r="J55" s="2"/>
      <x:c r="K55" s="2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2"/>
      <x:c r="F56" s="2"/>
      <x:c r="G56" s="2"/>
      <x:c r="H56" s="2"/>
      <x:c r="I56" s="2"/>
      <x:c r="J56" s="2"/>
      <x:c r="K56" s="2"/>
      <x:c r="L56" s="1"/>
      <x:c r="M56" s="1"/>
      <x:c r="N56" s="1"/>
      <x:c r="O56" s="1"/>
      <x:c r="P56" s="1"/>
      <x:c r="Q56" s="1"/>
    </x:row>
    <x:row r="57" ht="21" customHeight="1">
      <x:c r="A57" s="1"/>
      <x:c r="B57" s="1"/>
      <x:c r="C57" s="1"/>
      <x:c r="D57" s="1"/>
      <x:c r="E57" s="2"/>
      <x:c r="F57" s="2"/>
      <x:c r="G57" s="2"/>
      <x:c r="H57" s="2"/>
      <x:c r="I57" s="2"/>
      <x:c r="J57" s="2"/>
      <x:c r="K57" s="2"/>
      <x:c r="L57" s="1"/>
      <x:c r="M57" s="1"/>
      <x:c r="N57" s="1"/>
      <x:c r="O57" s="1"/>
      <x:c r="P57" s="1"/>
      <x:c r="Q57" s="1"/>
    </x:row>
    <x:row r="58" ht="21" customHeight="1">
      <x:c r="A58" s="1"/>
      <x:c r="B58" s="1"/>
      <x:c r="C58" s="1"/>
      <x:c r="D58" s="1"/>
      <x:c r="E58" s="2"/>
      <x:c r="F58" s="2"/>
      <x:c r="G58" s="2"/>
      <x:c r="H58" s="2"/>
      <x:c r="I58" s="2"/>
      <x:c r="J58" s="2"/>
      <x:c r="K58" s="2"/>
      <x:c r="L58" s="1"/>
      <x:c r="M58" s="1"/>
      <x:c r="N58" s="1"/>
      <x:c r="O58" s="1"/>
      <x:c r="P58" s="1"/>
      <x:c r="Q58" s="1"/>
    </x:row>
    <x:row r="59" ht="21" customHeight="1">
      <x:c r="A59" s="1"/>
      <x:c r="B59" s="1"/>
      <x:c r="C59" s="1"/>
      <x:c r="D59" s="1"/>
      <x:c r="E59" s="2"/>
      <x:c r="F59" s="2"/>
      <x:c r="G59" s="2"/>
      <x:c r="H59" s="2"/>
      <x:c r="I59" s="2"/>
      <x:c r="J59" s="2"/>
      <x:c r="K59" s="2"/>
      <x:c r="L59" s="1"/>
      <x:c r="M59" s="1"/>
      <x:c r="N59" s="1"/>
      <x:c r="O59" s="1"/>
      <x:c r="P59" s="1"/>
      <x:c r="Q59" s="1"/>
    </x:row>
    <x:row r="60" ht="21" customHeight="1">
      <x:c r="A60" s="1"/>
      <x:c r="B60" s="1"/>
      <x:c r="C60" s="1"/>
      <x:c r="D60" s="1"/>
      <x:c r="E60" s="2"/>
      <x:c r="F60" s="2"/>
      <x:c r="G60" s="2"/>
      <x:c r="H60" s="2"/>
      <x:c r="I60" s="2"/>
      <x:c r="J60" s="2"/>
      <x:c r="K60" s="2"/>
      <x:c r="L60" s="1"/>
      <x:c r="M60" s="1"/>
      <x:c r="N60" s="1"/>
      <x:c r="O60" s="1"/>
      <x:c r="P60" s="1"/>
      <x:c r="Q60" s="1"/>
    </x:row>
    <x:row r="61" ht="21" customHeight="1">
      <x:c r="A61" s="1"/>
      <x:c r="B61" s="1"/>
      <x:c r="C61" s="1"/>
      <x:c r="D61" s="1"/>
      <x:c r="E61" s="2"/>
      <x:c r="F61" s="2"/>
      <x:c r="G61" s="2"/>
      <x:c r="H61" s="2"/>
      <x:c r="I61" s="2"/>
      <x:c r="J61" s="2"/>
      <x:c r="K61" s="2"/>
      <x:c r="L61" s="1"/>
      <x:c r="M61" s="1"/>
      <x:c r="N61" s="1"/>
      <x:c r="O61" s="1"/>
      <x:c r="P61" s="1"/>
      <x:c r="Q61" s="1"/>
    </x:row>
    <x:row r="62" ht="21" customHeight="1">
      <x:c r="A62" s="1"/>
      <x:c r="B62" s="1"/>
      <x:c r="C62" s="1"/>
      <x:c r="D62" s="1"/>
      <x:c r="E62" s="2"/>
      <x:c r="F62" s="2"/>
      <x:c r="G62" s="2"/>
      <x:c r="H62" s="2"/>
      <x:c r="I62" s="2"/>
      <x:c r="J62" s="2"/>
      <x:c r="K62" s="2"/>
      <x:c r="L62" s="1"/>
      <x:c r="M62" s="1"/>
      <x:c r="N62" s="1"/>
      <x:c r="O62" s="1"/>
      <x:c r="P62" s="1"/>
      <x:c r="Q62" s="1"/>
    </x:row>
    <x:row r="63" ht="21" customHeight="1">
      <x:c r="A63" s="1"/>
      <x:c r="B63" s="1"/>
      <x:c r="C63" s="1"/>
      <x:c r="D63" s="1"/>
      <x:c r="E63" s="2"/>
      <x:c r="F63" s="2"/>
      <x:c r="G63" s="2"/>
      <x:c r="H63" s="2"/>
      <x:c r="I63" s="2"/>
      <x:c r="J63" s="2"/>
      <x:c r="K63" s="2"/>
      <x:c r="L63" s="1"/>
      <x:c r="M63" s="1"/>
      <x:c r="N63" s="1"/>
      <x:c r="O63" s="1"/>
      <x:c r="P63" s="1"/>
      <x:c r="Q63" s="1"/>
    </x:row>
    <x:row r="64" ht="21" customHeight="1">
      <x:c r="A64" s="1"/>
      <x:c r="B64" s="1"/>
      <x:c r="C64" s="1"/>
      <x:c r="D64" s="1"/>
      <x:c r="E64" s="2"/>
      <x:c r="F64" s="2"/>
      <x:c r="G64" s="2"/>
      <x:c r="H64" s="2"/>
      <x:c r="I64" s="2"/>
      <x:c r="J64" s="2"/>
      <x:c r="K64" s="2"/>
      <x:c r="L64" s="1"/>
      <x:c r="M64" s="1"/>
      <x:c r="N64" s="1"/>
      <x:c r="O64" s="1"/>
      <x:c r="P64" s="1"/>
      <x:c r="Q64" s="1"/>
    </x:row>
    <x:row r="65" ht="21" customHeight="1">
      <x:c r="A65" s="1"/>
      <x:c r="B65" s="1"/>
      <x:c r="C65" s="1"/>
      <x:c r="D65" s="1"/>
      <x:c r="E65" s="2"/>
      <x:c r="F65" s="2"/>
      <x:c r="G65" s="2"/>
      <x:c r="H65" s="2"/>
      <x:c r="I65" s="2"/>
      <x:c r="J65" s="2"/>
      <x:c r="K65" s="2"/>
      <x:c r="L65" s="1"/>
      <x:c r="M65" s="1"/>
      <x:c r="N65" s="1"/>
      <x:c r="O65" s="1"/>
      <x:c r="P65" s="1"/>
      <x:c r="Q6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7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/>
      <x:c r="B2" s="1"/>
      <x:c r="C2" s="5" t="str">
        <x:v>Discounted cash flow valuation - GBP million</x:v>
      </x:c>
      <x:c r="D2" s="5"/>
      <x:c r="E2" s="5"/>
      <x:c r="F2" s="5"/>
      <x:c r="G2" s="5"/>
      <x:c r="H2" s="5"/>
      <x:c r="I2" s="5"/>
      <x:c r="J2" s="5"/>
      <x:c r="K2" s="5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 t="str">
        <x:v>Case selected:</x:v>
      </x:c>
      <x:c r="D3" s="1"/>
      <x:c r="E3" s="4" t="str">
        <x:f>'Assumptions'!G3</x:f>
        <x:v>Base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1"/>
      <x:c r="B4" s="1"/>
      <x:c r="C4" s="1" t="str">
        <x:v>WACC</x:v>
      </x:c>
      <x:c r="D4" s="1"/>
      <x:c r="E4" s="13" t="n">
        <x:v>0.12</x:v>
      </x:c>
      <x:c r="F4" s="1" t="str">
        <x:v>Terminal growth</x:v>
      </x:c>
      <x:c r="G4" s="1"/>
      <x:c r="H4" s="13" t="n">
        <x:v>0.02</x:v>
      </x:c>
      <x:c r="I4" s="1"/>
      <x:c r="J4" s="1" t="str">
        <x:v>Terminal ROIC</x:v>
      </x:c>
      <x:c r="K4" s="13" t="n">
        <x:v>0.12</x:v>
      </x:c>
      <x:c r="L4" s="1"/>
      <x:c r="M4" s="1"/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1"/>
      <x:c r="B7" s="1"/>
      <x:c r="C7" s="1"/>
      <x:c r="D7" s="1"/>
      <x:c r="E7" s="20" t="n">
        <x:v>2026</x:v>
      </x:c>
      <x:c r="F7" s="20" t="n">
        <x:v>2027</x:v>
      </x:c>
      <x:c r="G7" s="20" t="n">
        <x:v>2028</x:v>
      </x:c>
      <x:c r="H7" s="20" t="n">
        <x:v>2029</x:v>
      </x:c>
      <x:c r="I7" s="20" t="n">
        <x:v>2030</x:v>
      </x:c>
      <x:c r="J7" s="2"/>
      <x:c r="K7" s="2"/>
      <x:c r="L7" s="1"/>
      <x:c r="M7" s="1"/>
      <x:c r="N7" s="1"/>
      <x:c r="O7" s="1"/>
      <x:c r="P7" s="1"/>
      <x:c r="Q7" s="1"/>
    </x:row>
    <x:row r="8" ht="21" customHeight="1">
      <x:c r="A8" s="1"/>
      <x:c r="B8" s="1"/>
      <x:c r="C8" s="1" t="str">
        <x:v>Unlevered free cash flow</x:v>
      </x:c>
      <x:c r="D8" s="1"/>
      <x:c r="E8" s="25" t="n">
        <x:f>'Operations'!E19</x:f>
        <x:v>5.4725</x:v>
      </x:c>
      <x:c r="F8" s="25" t="n">
        <x:f>'Operations'!F19</x:f>
        <x:v>6.344799999999998</x:v>
      </x:c>
      <x:c r="G8" s="25" t="n">
        <x:f>'Operations'!G19</x:f>
        <x:v>7.434127999999998</x:v>
      </x:c>
      <x:c r="H8" s="25" t="n">
        <x:f>'Operations'!H19</x:f>
        <x:v>8.67843392</x:v>
      </x:c>
      <x:c r="I8" s="25" t="n">
        <x:f>'Operations'!I19</x:f>
        <x:v>8.978948368000005</x:v>
      </x:c>
      <x:c r="J8" s="2"/>
      <x:c r="K8" s="2"/>
      <x:c r="L8" s="1"/>
      <x:c r="M8" s="1"/>
      <x:c r="N8" s="1"/>
      <x:c r="O8" s="1"/>
      <x:c r="P8" s="1"/>
      <x:c r="Q8" s="1"/>
    </x:row>
    <x:row r="9" ht="21" customHeight="1">
      <x:c r="A9" s="1"/>
      <x:c r="B9" s="1"/>
      <x:c r="C9" s="1" t="str">
        <x:v>Year-end discount factor</x:v>
      </x:c>
      <x:c r="D9" s="1"/>
      <x:c r="E9" s="33" t="n">
        <x:f>1/(1+$E$4)^(E$7-2025)</x:f>
        <x:v>0.8928571428571428</x:v>
      </x:c>
      <x:c r="F9" s="33" t="n">
        <x:f>1/(1+$E$4)^(F$7-2025)</x:f>
        <x:v>0.7971938775510203</x:v>
      </x:c>
      <x:c r="G9" s="33" t="n">
        <x:f>1/(1+$E$4)^(G$7-2025)</x:f>
        <x:v>0.7117802478134109</x:v>
      </x:c>
      <x:c r="H9" s="33" t="n">
        <x:f>1/(1+$E$4)^(H$7-2025)</x:f>
        <x:v>0.6355180784048311</x:v>
      </x:c>
      <x:c r="I9" s="33" t="n">
        <x:f>1/(1+$E$4)^(I$7-2025)</x:f>
        <x:v>0.5674268557185992</x:v>
      </x:c>
      <x:c r="J9" s="2"/>
      <x:c r="K9" s="2"/>
      <x:c r="L9" s="1"/>
      <x:c r="M9" s="1"/>
      <x:c r="N9" s="1"/>
      <x:c r="O9" s="1"/>
      <x:c r="P9" s="1"/>
      <x:c r="Q9" s="1"/>
    </x:row>
    <x:row r="10" ht="21" customHeight="1">
      <x:c r="A10" s="1"/>
      <x:c r="B10" s="1"/>
      <x:c r="C10" s="1" t="str">
        <x:v>Present value of free cash flow</x:v>
      </x:c>
      <x:c r="D10" s="1"/>
      <x:c r="E10" s="2" t="n">
        <x:f>E8*E9</x:f>
        <x:v>4.886160714285714</x:v>
      </x:c>
      <x:c r="F10" s="2" t="n">
        <x:f>F8*F9</x:f>
        <x:v>5.058035714285713</x:v>
      </x:c>
      <x:c r="G10" s="2" t="n">
        <x:f>G8*G9</x:f>
        <x:v>5.291465470116615</x:v>
      </x:c>
      <x:c r="H10" s="2" t="n">
        <x:f>H8*H9</x:f>
        <x:v>5.515301648401706</x:v>
      </x:c>
      <x:c r="I10" s="2" t="n">
        <x:f>I8*I9</x:f>
        <x:v>5.0948964401138905</x:v>
      </x:c>
      <x:c r="J10" s="2"/>
      <x:c r="K10" s="2"/>
      <x:c r="L10" s="1"/>
      <x:c r="M10" s="1"/>
      <x:c r="N10" s="1"/>
      <x:c r="O10" s="1"/>
      <x:c r="P10" s="1"/>
      <x:c r="Q10" s="1"/>
    </x:row>
    <x:row r="11" ht="21" customHeight="1">
      <x:c r="A11" s="1"/>
      <x:c r="B11" s="1"/>
      <x:c r="C11" s="1"/>
      <x:c r="D11" s="1"/>
      <x:c r="E11" s="2"/>
      <x:c r="F11" s="2"/>
      <x:c r="G11" s="2"/>
      <x:c r="H11" s="2"/>
      <x:c r="I11" s="2"/>
      <x:c r="J11" s="2"/>
      <x:c r="K11" s="2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/>
      <x:c r="D12" s="1"/>
      <x:c r="E12" s="2"/>
      <x:c r="F12" s="2"/>
      <x:c r="G12" s="2"/>
      <x:c r="H12" s="2"/>
      <x:c r="I12" s="2"/>
      <x:c r="J12" s="2"/>
      <x:c r="K12" s="2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1"/>
      <x:c r="D13" s="1"/>
      <x:c r="E13" s="2"/>
      <x:c r="F13" s="2"/>
      <x:c r="G13" s="2"/>
      <x:c r="H13" s="2"/>
      <x:c r="I13" s="2"/>
      <x:c r="J13" s="2"/>
      <x:c r="K13" s="2"/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1" t="str">
        <x:v>Final forecast EBIT</x:v>
      </x:c>
      <x:c r="D14" s="1"/>
      <x:c r="E14" s="25" t="n">
        <x:f>'Operations'!I13</x:f>
        <x:v>14.113874112000001</x:v>
      </x:c>
      <x:c r="F14" s="2"/>
      <x:c r="G14" s="2"/>
      <x:c r="H14" s="2"/>
      <x:c r="I14" s="2"/>
      <x:c r="J14" s="2"/>
      <x:c r="K14" s="2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 t="str">
        <x:v>Terminal NOPAT</x:v>
      </x:c>
      <x:c r="D15" s="1"/>
      <x:c r="E15" s="25" t="n">
        <x:f>E14*(1+$H$4)*(1-'Assumptions'!$E$13)</x:f>
        <x:v>10.79711369568</x:v>
      </x:c>
      <x:c r="F15" s="2"/>
      <x:c r="G15" s="2"/>
      <x:c r="H15" s="2"/>
      <x:c r="I15" s="2"/>
      <x:c r="J15" s="2"/>
      <x:c r="K15" s="2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 t="str">
        <x:v>Terminal reinvestment rate</x:v>
      </x:c>
      <x:c r="D16" s="1"/>
      <x:c r="E16" s="22" t="n">
        <x:f>$H$4/$K$4</x:f>
        <x:v>0.16666666666666669</x:v>
      </x:c>
      <x:c r="F16" s="2"/>
      <x:c r="G16" s="2"/>
      <x:c r="H16" s="2"/>
      <x:c r="I16" s="2"/>
      <x:c r="J16" s="2"/>
      <x:c r="K16" s="2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 t="str">
        <x:v>Terminal free cash flow</x:v>
      </x:c>
      <x:c r="D17" s="1"/>
      <x:c r="E17" s="2" t="n">
        <x:f>E15*(1-E16)</x:f>
        <x:v>8.997594746399999</x:v>
      </x:c>
      <x:c r="F17" s="2"/>
      <x:c r="G17" s="2"/>
      <x:c r="H17" s="2"/>
      <x:c r="I17" s="2"/>
      <x:c r="J17" s="2"/>
      <x:c r="K17" s="2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 t="str">
        <x:v>Undiscounted terminal value</x:v>
      </x:c>
      <x:c r="D18" s="1"/>
      <x:c r="E18" s="2" t="n">
        <x:f>IF($E$4&lt;=$H$4,"WACC must exceed growth",E17/($E$4-$H$4))</x:f>
        <x:v>89.975947464</x:v>
      </x:c>
      <x:c r="F18" s="2"/>
      <x:c r="G18" s="2"/>
      <x:c r="H18" s="2"/>
      <x:c r="I18" s="2"/>
      <x:c r="J18" s="2"/>
      <x:c r="K18" s="2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 t="str">
        <x:v>Present value of terminal value</x:v>
      </x:c>
      <x:c r="D19" s="1"/>
      <x:c r="E19" s="2" t="n">
        <x:f>E18*I9</x:f>
        <x:v>51.05476895979939</x:v>
      </x:c>
      <x:c r="F19" s="2"/>
      <x:c r="G19" s="2"/>
      <x:c r="H19" s="2"/>
      <x:c r="I19" s="2"/>
      <x:c r="J19" s="2"/>
      <x:c r="K19" s="2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/>
      <x:c r="D20" s="1"/>
      <x:c r="E20" s="2"/>
      <x:c r="F20" s="2"/>
      <x:c r="G20" s="2"/>
      <x:c r="H20" s="2"/>
      <x:c r="I20" s="2"/>
      <x:c r="J20" s="2"/>
      <x:c r="K20" s="2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 t="str">
        <x:v>Present value of explicit cash flows</x:v>
      </x:c>
      <x:c r="D21" s="1"/>
      <x:c r="E21" s="2" t="n">
        <x:f>SUM(E10:I10)</x:f>
        <x:v>25.84585998720364</x:v>
      </x:c>
      <x:c r="F21" s="2"/>
      <x:c r="G21" s="2"/>
      <x:c r="H21" s="2"/>
      <x:c r="I21" s="2"/>
      <x:c r="J21" s="2"/>
      <x:c r="K21" s="2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30" t="str">
        <x:v>Enterprise value</x:v>
      </x:c>
      <x:c r="D22" s="30"/>
      <x:c r="E22" s="32" t="n">
        <x:f>E21+E19</x:f>
        <x:v>76.90062894700303</x:v>
      </x:c>
      <x:c r="F22" s="32"/>
      <x:c r="G22" s="32"/>
      <x:c r="H22" s="32"/>
      <x:c r="I22" s="32"/>
      <x:c r="J22" s="2"/>
      <x:c r="K22" s="2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 t="str">
        <x:v>Terminal value / enterprise value</x:v>
      </x:c>
      <x:c r="D23" s="1"/>
      <x:c r="E23" s="22" t="n">
        <x:f>E19/E22</x:f>
        <x:v>0.6639057398995317</x:v>
      </x:c>
      <x:c r="F23" s="2"/>
      <x:c r="G23" s="2"/>
      <x:c r="H23" s="2"/>
      <x:c r="I23" s="2"/>
      <x:c r="J23" s="2"/>
      <x:c r="K23" s="2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/>
      <x:c r="D24" s="1"/>
      <x:c r="E24" s="2"/>
      <x:c r="F24" s="2"/>
      <x:c r="G24" s="2"/>
      <x:c r="H24" s="2"/>
      <x:c r="I24" s="2"/>
      <x:c r="J24" s="2"/>
      <x:c r="K24" s="2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 t="str">
        <x:v>Opening cash</x:v>
      </x:c>
      <x:c r="D25" s="1"/>
      <x:c r="E25" s="25" t="n">
        <x:f>'Assumptions'!E11</x:f>
        <x:v>4</x:v>
      </x:c>
      <x:c r="F25" s="2"/>
      <x:c r="G25" s="2" t="str">
        <x:v>Face-debt residual is not market-priced equity.</x:v>
      </x:c>
      <x:c r="H25" s="2"/>
      <x:c r="I25" s="2"/>
      <x:c r="J25" s="2"/>
      <x:c r="K25" s="2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 t="str">
        <x:v>Existing debt at face value</x:v>
      </x:c>
      <x:c r="D26" s="1"/>
      <x:c r="E26" s="25" t="n">
        <x:f>'Assumptions'!E17+'Assumptions'!E20</x:f>
        <x:v>80</x:v>
      </x:c>
      <x:c r="F26" s="2"/>
      <x:c r="G26" s="2"/>
      <x:c r="H26" s="2"/>
      <x:c r="I26" s="2"/>
      <x:c r="J26" s="2"/>
      <x:c r="K26" s="2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30" t="str">
        <x:v>Residual after face debt</x:v>
      </x:c>
      <x:c r="D27" s="30"/>
      <x:c r="E27" s="32" t="n">
        <x:f>E22+E25-E26</x:f>
        <x:v>0.9006289470030282</x:v>
      </x:c>
      <x:c r="F27" s="32"/>
      <x:c r="G27" s="32" t="str">
        <x:v>Terminal growth requires reinvestment at the stated ROIC.</x:v>
      </x:c>
      <x:c r="H27" s="32"/>
      <x:c r="I27" s="32"/>
      <x:c r="J27" s="2"/>
      <x:c r="K27" s="2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/>
      <x:c r="D28" s="1"/>
      <x:c r="E28" s="2"/>
      <x:c r="F28" s="2"/>
      <x:c r="G28" s="2"/>
      <x:c r="H28" s="2"/>
      <x:c r="I28" s="2"/>
      <x:c r="J28" s="2"/>
      <x:c r="K28" s="2"/>
      <x:c r="L28" s="1"/>
      <x:c r="M28" s="1"/>
      <x:c r="N28" s="1"/>
      <x:c r="O28" s="1"/>
      <x:c r="P28" s="1"/>
      <x:c r="Q28" s="1"/>
    </x:row>
    <x:row r="29" ht="24" customHeight="1">
      <x:c r="A29" s="1"/>
      <x:c r="B29" s="1"/>
      <x:c r="C29" s="10" t="str">
        <x:v>EV sensitivity: rows WACC / columns terminal growth</x:v>
      </x:c>
      <x:c r="D29" s="10"/>
      <x:c r="E29" s="35"/>
      <x:c r="F29" s="35"/>
      <x:c r="G29" s="35"/>
      <x:c r="H29" s="35"/>
      <x:c r="I29" s="35"/>
      <x:c r="J29" s="35"/>
      <x:c r="K29" s="35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/>
      <x:c r="D30" s="1"/>
      <x:c r="E30" s="2"/>
      <x:c r="F30" s="2"/>
      <x:c r="G30" s="2"/>
      <x:c r="H30" s="2"/>
      <x:c r="I30" s="2"/>
      <x:c r="J30" s="2"/>
      <x:c r="K30" s="2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/>
      <x:c r="D31" s="1"/>
      <x:c r="E31" s="36" t="n">
        <x:f>E22</x:f>
        <x:v>76.90062894700303</x:v>
      </x:c>
      <x:c r="F31" s="22" t="n">
        <x:v>0</x:v>
      </x:c>
      <x:c r="G31" s="22" t="n">
        <x:v>0.01</x:v>
      </x:c>
      <x:c r="H31" s="22" t="n">
        <x:v>0.02</x:v>
      </x:c>
      <x:c r="I31" s="22" t="n">
        <x:v>0.03</x:v>
      </x:c>
      <x:c r="J31" s="22" t="n">
        <x:v>0.04</x:v>
      </x:c>
      <x:c r="K31" s="2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/>
      <x:c r="D32" s="1"/>
      <x:c r="E32" s="22" t="n">
        <x:v>0.1</x:v>
      </x:c>
      <x:c r="F32" s="2" t="n">
        <x:f t="dataTable" ref="F32:J36" dt2D="1" r1="H4" r2="E4"/>
        <x:v>93.0337548043787</x:v>
      </x:c>
      <x:c r="G32" s="2" t="n">
        <x:v>94.9203642974378</x:v>
      </x:c>
      <x:c r="H32" s="2" t="n">
        <x:v>97.1416948295881</x:v>
      </x:c>
      <x:c r="I32" s="2" t="n">
        <x:v>99.8411982747257</x:v>
      </x:c>
      <x:c r="J32" s="2" t="n">
        <x:v>103.2579610893443</x:v>
      </x:c>
      <x:c r="K32" s="2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1"/>
      <x:c r="D33" s="1"/>
      <x:c r="E33" s="22" t="n">
        <x:v>0.11</x:v>
      </x:c>
      <x:c r="F33" s="2" t="n">
        <x:v>83.6692455054784</x:v>
      </x:c>
      <x:c r="G33" s="2" t="n">
        <x:v>84.7209917050328</x:v>
      </x:c>
      <x:c r="H33" s="2" t="n">
        <x:v>85.890127374824</x:v>
      </x:c>
      <x:c r="I33" s="2" t="n">
        <x:v>87.2206735661909</x:v>
      </x:c>
      <x:c r="J33" s="2" t="n">
        <x:v>88.7818062169516</x:v>
      </x:c>
      <x:c r="K33" s="2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/>
      <x:c r="D34" s="1"/>
      <x:c r="E34" s="22" t="n">
        <x:v>0.12</x:v>
      </x:c>
      <x:c r="F34" s="2" t="n">
        <x:v>75.8995550458305</x:v>
      </x:c>
      <x:c r="G34" s="2" t="n">
        <x:v>76.4000919964168</x:v>
      </x:c>
      <x:c r="H34" s="2" t="n">
        <x:v>76.900628947003</x:v>
      </x:c>
      <x:c r="I34" s="2" t="n">
        <x:v>77.4011658975893</x:v>
      </x:c>
      <x:c r="J34" s="2" t="n">
        <x:v>77.9017028481756</x:v>
      </x:c>
      <x:c r="K34" s="2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/>
      <x:c r="D35" s="1"/>
      <x:c r="E35" s="22" t="n">
        <x:v>0.13</x:v>
      </x:c>
      <x:c r="F35" s="2" t="n">
        <x:v>69.354989902914</x:v>
      </x:c>
      <x:c r="G35" s="2" t="n">
        <x:v>69.4869607172644</x:v>
      </x:c>
      <x:c r="H35" s="2" t="n">
        <x:v>69.5558757091133</x:v>
      </x:c>
      <x:c r="I35" s="2" t="n">
        <x:v>69.5428181317104</x:v>
      </x:c>
      <x:c r="J35" s="2" t="n">
        <x:v>69.4204637953049</x:v>
      </x:c>
      <x:c r="K35" s="2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/>
      <x:c r="D36" s="1"/>
      <x:c r="E36" s="22" t="n">
        <x:v>0.14</x:v>
      </x:c>
      <x:c r="F36" s="2" t="n">
        <x:v>63.7715802303016</x:v>
      </x:c>
      <x:c r="G36" s="2" t="n">
        <x:v>63.6557855937842</x:v>
      </x:c>
      <x:c r="H36" s="2" t="n">
        <x:v>63.4443345184046</x:v>
      </x:c>
      <x:c r="I36" s="2" t="n">
        <x:v>63.1111388844732</x:v>
      </x:c>
      <x:c r="J36" s="2" t="n">
        <x:v>62.6196753244243</x:v>
      </x:c>
      <x:c r="K36" s="2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/>
      <x:c r="D37" s="1"/>
      <x:c r="E37" s="2"/>
      <x:c r="F37" s="2"/>
      <x:c r="G37" s="2"/>
      <x:c r="H37" s="2"/>
      <x:c r="I37" s="2"/>
      <x:c r="J37" s="2"/>
      <x:c r="K37" s="2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/>
      <x:c r="D38" s="1"/>
      <x:c r="E38" s="2"/>
      <x:c r="F38" s="2"/>
      <x:c r="G38" s="2"/>
      <x:c r="H38" s="2"/>
      <x:c r="I38" s="2"/>
      <x:c r="J38" s="2"/>
      <x:c r="K38" s="2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/>
      <x:c r="D39" s="1"/>
      <x:c r="E39" s="2"/>
      <x:c r="F39" s="2"/>
      <x:c r="G39" s="2"/>
      <x:c r="H39" s="2"/>
      <x:c r="I39" s="2"/>
      <x:c r="J39" s="2"/>
      <x:c r="K39" s="2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2"/>
      <x:c r="F40" s="2"/>
      <x:c r="G40" s="2"/>
      <x:c r="H40" s="2"/>
      <x:c r="I40" s="2"/>
      <x:c r="J40" s="2"/>
      <x:c r="K40" s="2"/>
      <x:c r="L40" s="1"/>
      <x:c r="M40" s="1"/>
      <x:c r="N40" s="1"/>
      <x:c r="O40" s="1"/>
      <x:c r="P40" s="1"/>
      <x:c r="Q40" s="1"/>
    </x:row>
    <x:row r="41" ht="21" customHeight="1">
      <x:c r="A41" s="1"/>
      <x:c r="B41" s="1"/>
      <x:c r="C41" s="1"/>
      <x:c r="D41" s="1"/>
      <x:c r="E41" s="2"/>
      <x:c r="F41" s="2"/>
      <x:c r="G41" s="2"/>
      <x:c r="H41" s="2"/>
      <x:c r="I41" s="2"/>
      <x:c r="J41" s="2"/>
      <x:c r="K41" s="2"/>
      <x:c r="L41" s="1"/>
      <x:c r="M41" s="1"/>
      <x:c r="N41" s="1"/>
      <x:c r="O41" s="1"/>
      <x:c r="P41" s="1"/>
      <x:c r="Q41" s="1"/>
    </x:row>
    <x:row r="42" ht="21" customHeight="1">
      <x:c r="A42" s="1"/>
      <x:c r="B42" s="1"/>
      <x:c r="C42" s="1"/>
      <x:c r="D42" s="1"/>
      <x:c r="E42" s="2"/>
      <x:c r="F42" s="2"/>
      <x:c r="G42" s="2"/>
      <x:c r="H42" s="2"/>
      <x:c r="I42" s="2"/>
      <x:c r="J42" s="2"/>
      <x:c r="K42" s="2"/>
      <x:c r="L42" s="1"/>
      <x:c r="M42" s="1"/>
      <x:c r="N42" s="1"/>
      <x:c r="O42" s="1"/>
      <x:c r="P42" s="1"/>
      <x:c r="Q42" s="1"/>
    </x:row>
    <x:row r="43" ht="21" customHeight="1">
      <x:c r="A43" s="1"/>
      <x:c r="B43" s="1"/>
      <x:c r="C43" s="1"/>
      <x:c r="D43" s="1"/>
      <x:c r="E43" s="2"/>
      <x:c r="F43" s="2"/>
      <x:c r="G43" s="2"/>
      <x:c r="H43" s="2"/>
      <x:c r="I43" s="2"/>
      <x:c r="J43" s="2"/>
      <x:c r="K43" s="2"/>
      <x:c r="L43" s="1"/>
      <x:c r="M43" s="1"/>
      <x:c r="N43" s="1"/>
      <x:c r="O43" s="1"/>
      <x:c r="P43" s="1"/>
      <x:c r="Q43" s="1"/>
    </x:row>
    <x:row r="44" ht="21" customHeight="1">
      <x:c r="A44" s="1"/>
      <x:c r="B44" s="1"/>
      <x:c r="C44" s="1"/>
      <x:c r="D44" s="1"/>
      <x:c r="E44" s="2"/>
      <x:c r="F44" s="2"/>
      <x:c r="G44" s="2"/>
      <x:c r="H44" s="2"/>
      <x:c r="I44" s="2"/>
      <x:c r="J44" s="2"/>
      <x:c r="K44" s="2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1"/>
      <x:c r="D45" s="1"/>
      <x:c r="E45" s="2"/>
      <x:c r="F45" s="2"/>
      <x:c r="G45" s="2"/>
      <x:c r="H45" s="2"/>
      <x:c r="I45" s="2"/>
      <x:c r="J45" s="2"/>
      <x:c r="K45" s="2"/>
      <x:c r="L45" s="1"/>
      <x:c r="M45" s="1"/>
      <x:c r="N45" s="1"/>
      <x:c r="O45" s="1"/>
      <x:c r="P45" s="1"/>
      <x:c r="Q45" s="1"/>
    </x:row>
    <x:row r="46" ht="21" customHeight="1">
      <x:c r="A46" s="1"/>
      <x:c r="B46" s="1"/>
      <x:c r="C46" s="1"/>
      <x:c r="D46" s="1"/>
      <x:c r="E46" s="2"/>
      <x:c r="F46" s="2"/>
      <x:c r="G46" s="2"/>
      <x:c r="H46" s="2"/>
      <x:c r="I46" s="2"/>
      <x:c r="J46" s="2"/>
      <x:c r="K46" s="2"/>
      <x:c r="L46" s="1"/>
      <x:c r="M46" s="1"/>
      <x:c r="N46" s="1"/>
      <x:c r="O46" s="1"/>
      <x:c r="P46" s="1"/>
      <x:c r="Q46" s="1"/>
    </x:row>
    <x:row r="47" ht="21" customHeight="1">
      <x:c r="A47" s="1"/>
      <x:c r="B47" s="1"/>
      <x:c r="C47" s="1"/>
      <x:c r="D47" s="1"/>
      <x:c r="E47" s="2"/>
      <x:c r="F47" s="2"/>
      <x:c r="G47" s="2"/>
      <x:c r="H47" s="2"/>
      <x:c r="I47" s="2"/>
      <x:c r="J47" s="2"/>
      <x:c r="K47" s="2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2"/>
      <x:c r="F48" s="2"/>
      <x:c r="G48" s="2"/>
      <x:c r="H48" s="2"/>
      <x:c r="I48" s="2"/>
      <x:c r="J48" s="2"/>
      <x:c r="K48" s="2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2"/>
      <x:c r="F49" s="2"/>
      <x:c r="G49" s="2"/>
      <x:c r="H49" s="2"/>
      <x:c r="I49" s="2"/>
      <x:c r="J49" s="2"/>
      <x:c r="K49" s="2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/>
      <x:c r="D50" s="1"/>
      <x:c r="E50" s="2"/>
      <x:c r="F50" s="2"/>
      <x:c r="G50" s="2"/>
      <x:c r="H50" s="2"/>
      <x:c r="I50" s="2"/>
      <x:c r="J50" s="2"/>
      <x:c r="K50" s="2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/>
      <x:c r="D51" s="1"/>
      <x:c r="E51" s="2"/>
      <x:c r="F51" s="2"/>
      <x:c r="G51" s="2"/>
      <x:c r="H51" s="2"/>
      <x:c r="I51" s="2"/>
      <x:c r="J51" s="2"/>
      <x:c r="K51" s="2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/>
      <x:c r="D52" s="1"/>
      <x:c r="E52" s="2"/>
      <x:c r="F52" s="2"/>
      <x:c r="G52" s="2"/>
      <x:c r="H52" s="2"/>
      <x:c r="I52" s="2"/>
      <x:c r="J52" s="2"/>
      <x:c r="K52" s="2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2"/>
      <x:c r="F53" s="2"/>
      <x:c r="G53" s="2"/>
      <x:c r="H53" s="2"/>
      <x:c r="I53" s="2"/>
      <x:c r="J53" s="2"/>
      <x:c r="K53" s="2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2"/>
      <x:c r="F54" s="2"/>
      <x:c r="G54" s="2"/>
      <x:c r="H54" s="2"/>
      <x:c r="I54" s="2"/>
      <x:c r="J54" s="2"/>
      <x:c r="K54" s="2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2"/>
      <x:c r="F55" s="2"/>
      <x:c r="G55" s="2"/>
      <x:c r="H55" s="2"/>
      <x:c r="I55" s="2"/>
      <x:c r="J55" s="2"/>
      <x:c r="K55" s="2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2"/>
      <x:c r="F56" s="2"/>
      <x:c r="G56" s="2"/>
      <x:c r="H56" s="2"/>
      <x:c r="I56" s="2"/>
      <x:c r="J56" s="2"/>
      <x:c r="K56" s="2"/>
      <x:c r="L56" s="1"/>
      <x:c r="M56" s="1"/>
      <x:c r="N56" s="1"/>
      <x:c r="O56" s="1"/>
      <x:c r="P56" s="1"/>
      <x:c r="Q56" s="1"/>
    </x:row>
    <x:row r="57" ht="21" customHeight="1">
      <x:c r="A57" s="1"/>
      <x:c r="B57" s="1"/>
      <x:c r="C57" s="1"/>
      <x:c r="D57" s="1"/>
      <x:c r="E57" s="2"/>
      <x:c r="F57" s="2"/>
      <x:c r="G57" s="2"/>
      <x:c r="H57" s="2"/>
      <x:c r="I57" s="2"/>
      <x:c r="J57" s="2"/>
      <x:c r="K57" s="2"/>
      <x:c r="L57" s="1"/>
      <x:c r="M57" s="1"/>
      <x:c r="N57" s="1"/>
      <x:c r="O57" s="1"/>
      <x:c r="P57" s="1"/>
      <x:c r="Q57" s="1"/>
    </x:row>
    <x:row r="58" ht="21" customHeight="1">
      <x:c r="A58" s="1"/>
      <x:c r="B58" s="1"/>
      <x:c r="C58" s="1"/>
      <x:c r="D58" s="1"/>
      <x:c r="E58" s="2"/>
      <x:c r="F58" s="2"/>
      <x:c r="G58" s="2"/>
      <x:c r="H58" s="2"/>
      <x:c r="I58" s="2"/>
      <x:c r="J58" s="2"/>
      <x:c r="K58" s="2"/>
      <x:c r="L58" s="1"/>
      <x:c r="M58" s="1"/>
      <x:c r="N58" s="1"/>
      <x:c r="O58" s="1"/>
      <x:c r="P58" s="1"/>
      <x:c r="Q58" s="1"/>
    </x:row>
    <x:row r="59" ht="21" customHeight="1">
      <x:c r="A59" s="1"/>
      <x:c r="B59" s="1"/>
      <x:c r="C59" s="1"/>
      <x:c r="D59" s="1"/>
      <x:c r="E59" s="2"/>
      <x:c r="F59" s="2"/>
      <x:c r="G59" s="2"/>
      <x:c r="H59" s="2"/>
      <x:c r="I59" s="2"/>
      <x:c r="J59" s="2"/>
      <x:c r="K59" s="2"/>
      <x:c r="L59" s="1"/>
      <x:c r="M59" s="1"/>
      <x:c r="N59" s="1"/>
      <x:c r="O59" s="1"/>
      <x:c r="P59" s="1"/>
      <x:c r="Q59" s="1"/>
    </x:row>
    <x:row r="60" ht="21" customHeight="1">
      <x:c r="A60" s="1"/>
      <x:c r="B60" s="1"/>
      <x:c r="C60" s="1"/>
      <x:c r="D60" s="1"/>
      <x:c r="E60" s="2"/>
      <x:c r="F60" s="2"/>
      <x:c r="G60" s="2"/>
      <x:c r="H60" s="2"/>
      <x:c r="I60" s="2"/>
      <x:c r="J60" s="2"/>
      <x:c r="K60" s="2"/>
      <x:c r="L60" s="1"/>
      <x:c r="M60" s="1"/>
      <x:c r="N60" s="1"/>
      <x:c r="O60" s="1"/>
      <x:c r="P60" s="1"/>
      <x:c r="Q60" s="1"/>
    </x:row>
    <x:row r="61" ht="21" customHeight="1">
      <x:c r="A61" s="1"/>
      <x:c r="B61" s="1"/>
      <x:c r="C61" s="1"/>
      <x:c r="D61" s="1"/>
      <x:c r="E61" s="2"/>
      <x:c r="F61" s="2"/>
      <x:c r="G61" s="2"/>
      <x:c r="H61" s="2"/>
      <x:c r="I61" s="2"/>
      <x:c r="J61" s="2"/>
      <x:c r="K61" s="2"/>
      <x:c r="L61" s="1"/>
      <x:c r="M61" s="1"/>
      <x:c r="N61" s="1"/>
      <x:c r="O61" s="1"/>
      <x:c r="P61" s="1"/>
      <x:c r="Q61" s="1"/>
    </x:row>
    <x:row r="62" ht="21" customHeight="1">
      <x:c r="A62" s="1"/>
      <x:c r="B62" s="1"/>
      <x:c r="C62" s="1"/>
      <x:c r="D62" s="1"/>
      <x:c r="E62" s="2"/>
      <x:c r="F62" s="2"/>
      <x:c r="G62" s="2"/>
      <x:c r="H62" s="2"/>
      <x:c r="I62" s="2"/>
      <x:c r="J62" s="2"/>
      <x:c r="K62" s="2"/>
      <x:c r="L62" s="1"/>
      <x:c r="M62" s="1"/>
      <x:c r="N62" s="1"/>
      <x:c r="O62" s="1"/>
      <x:c r="P62" s="1"/>
      <x:c r="Q62" s="1"/>
    </x:row>
    <x:row r="63" ht="21" customHeight="1">
      <x:c r="A63" s="1"/>
      <x:c r="B63" s="1"/>
      <x:c r="C63" s="1"/>
      <x:c r="D63" s="1"/>
      <x:c r="E63" s="2"/>
      <x:c r="F63" s="2"/>
      <x:c r="G63" s="2"/>
      <x:c r="H63" s="2"/>
      <x:c r="I63" s="2"/>
      <x:c r="J63" s="2"/>
      <x:c r="K63" s="2"/>
      <x:c r="L63" s="1"/>
      <x:c r="M63" s="1"/>
      <x:c r="N63" s="1"/>
      <x:c r="O63" s="1"/>
      <x:c r="P63" s="1"/>
      <x:c r="Q63" s="1"/>
    </x:row>
    <x:row r="64" ht="21" customHeight="1">
      <x:c r="A64" s="1"/>
      <x:c r="B64" s="1"/>
      <x:c r="C64" s="1"/>
      <x:c r="D64" s="1"/>
      <x:c r="E64" s="2"/>
      <x:c r="F64" s="2"/>
      <x:c r="G64" s="2"/>
      <x:c r="H64" s="2"/>
      <x:c r="I64" s="2"/>
      <x:c r="J64" s="2"/>
      <x:c r="K64" s="2"/>
      <x:c r="L64" s="1"/>
      <x:c r="M64" s="1"/>
      <x:c r="N64" s="1"/>
      <x:c r="O64" s="1"/>
      <x:c r="P64" s="1"/>
      <x:c r="Q64" s="1"/>
    </x:row>
    <x:row r="65" ht="21" customHeight="1">
      <x:c r="A65" s="1"/>
      <x:c r="B65" s="1"/>
      <x:c r="C65" s="1"/>
      <x:c r="D65" s="1"/>
      <x:c r="E65" s="2"/>
      <x:c r="F65" s="2"/>
      <x:c r="G65" s="2"/>
      <x:c r="H65" s="2"/>
      <x:c r="I65" s="2"/>
      <x:c r="J65" s="2"/>
      <x:c r="K65" s="2"/>
      <x:c r="L65" s="1"/>
      <x:c r="M65" s="1"/>
      <x:c r="N65" s="1"/>
      <x:c r="O65" s="1"/>
      <x:c r="P65" s="1"/>
      <x:c r="Q6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7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/>
      <x:c r="B2" s="1"/>
      <x:c r="C2" s="5" t="str">
        <x:v>Simplified five-year LBO - GBP million</x:v>
      </x:c>
      <x:c r="D2" s="5"/>
      <x:c r="E2" s="5"/>
      <x:c r="F2" s="5"/>
      <x:c r="G2" s="5"/>
      <x:c r="H2" s="5"/>
      <x:c r="I2" s="5"/>
      <x:c r="J2" s="5"/>
      <x:c r="K2" s="5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 t="str">
        <x:v>Case selected:</x:v>
      </x:c>
      <x:c r="D3" s="1"/>
      <x:c r="E3" s="4" t="str">
        <x:f>'Assumptions'!G3</x:f>
        <x:v>Base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1"/>
      <x:c r="B4" s="1"/>
      <x:c r="C4" s="1" t="str">
        <x:v>Entry EV / EBITDA</x:v>
      </x:c>
      <x:c r="D4" s="1"/>
      <x:c r="E4" s="15" t="n">
        <x:v>6</x:v>
      </x:c>
      <x:c r="F4" s="1" t="str">
        <x:v>Exit EV / EBITDA</x:v>
      </x:c>
      <x:c r="G4" s="1"/>
      <x:c r="H4" s="15" t="n">
        <x:v>6</x:v>
      </x:c>
      <x:c r="I4" s="1"/>
      <x:c r="J4" s="1" t="str">
        <x:v>Debt / EBITDA</x:v>
      </x:c>
      <x:c r="K4" s="15" t="n">
        <x:v>4</x:v>
      </x:c>
      <x:c r="L4" s="1"/>
      <x:c r="M4" s="1"/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1"/>
      <x:c r="B7" s="1"/>
      <x:c r="C7" s="1"/>
      <x:c r="D7" s="1"/>
      <x:c r="E7" s="2"/>
      <x:c r="F7" s="2"/>
      <x:c r="G7" s="2"/>
      <x:c r="H7" s="2"/>
      <x:c r="I7" s="2"/>
      <x:c r="J7" s="2"/>
      <x:c r="K7" s="2"/>
      <x:c r="L7" s="1"/>
      <x:c r="M7" s="1"/>
      <x:c r="N7" s="1"/>
      <x:c r="O7" s="1"/>
      <x:c r="P7" s="1"/>
      <x:c r="Q7" s="1"/>
    </x:row>
    <x:row r="8" ht="21" customHeight="1">
      <x:c r="A8" s="1"/>
      <x:c r="B8" s="1"/>
      <x:c r="C8" s="1" t="str">
        <x:v>Entry enterprise value</x:v>
      </x:c>
      <x:c r="D8" s="1"/>
      <x:c r="E8" s="25" t="n">
        <x:f>E4*'Assumptions'!E9</x:f>
        <x:v>96</x:v>
      </x:c>
      <x:c r="F8" s="2"/>
      <x:c r="G8" s="2"/>
      <x:c r="H8" s="2"/>
      <x:c r="I8" s="2"/>
      <x:c r="J8" s="2"/>
      <x:c r="K8" s="2"/>
      <x:c r="L8" s="1"/>
      <x:c r="M8" s="1"/>
      <x:c r="N8" s="1"/>
      <x:c r="O8" s="1"/>
      <x:c r="P8" s="1"/>
      <x:c r="Q8" s="1"/>
    </x:row>
    <x:row r="9" ht="21" customHeight="1">
      <x:c r="A9" s="1"/>
      <x:c r="B9" s="1"/>
      <x:c r="C9" s="1" t="str">
        <x:v>Financing fee</x:v>
      </x:c>
      <x:c r="D9" s="1"/>
      <x:c r="E9" s="25" t="n">
        <x:f>E12*'Assumptions'!E29</x:f>
        <x:v>0.64</x:v>
      </x:c>
      <x:c r="F9" s="2"/>
      <x:c r="G9" s="2" t="str">
        <x:v>Debt-free, cash-free purchase; legacy debt is refinanced.</x:v>
      </x:c>
      <x:c r="H9" s="2"/>
      <x:c r="I9" s="2"/>
      <x:c r="J9" s="2"/>
      <x:c r="K9" s="2"/>
      <x:c r="L9" s="1"/>
      <x:c r="M9" s="1"/>
      <x:c r="N9" s="1"/>
      <x:c r="O9" s="1"/>
      <x:c r="P9" s="1"/>
      <x:c r="Q9" s="1"/>
    </x:row>
    <x:row r="10" ht="21" customHeight="1">
      <x:c r="A10" s="1"/>
      <x:c r="B10" s="1"/>
      <x:c r="C10" s="1" t="str">
        <x:v>Transaction fee</x:v>
      </x:c>
      <x:c r="D10" s="1"/>
      <x:c r="E10" s="25" t="n">
        <x:f>E8*'Assumptions'!E28</x:f>
        <x:v>1.92</x:v>
      </x:c>
      <x:c r="F10" s="2"/>
      <x:c r="G10" s="2"/>
      <x:c r="H10" s="2"/>
      <x:c r="I10" s="2"/>
      <x:c r="J10" s="2"/>
      <x:c r="K10" s="2"/>
      <x:c r="L10" s="1"/>
      <x:c r="M10" s="1"/>
      <x:c r="N10" s="1"/>
      <x:c r="O10" s="1"/>
      <x:c r="P10" s="1"/>
      <x:c r="Q10" s="1"/>
    </x:row>
    <x:row r="11" ht="21" customHeight="1">
      <x:c r="A11" s="1"/>
      <x:c r="B11" s="1"/>
      <x:c r="C11" s="1" t="str">
        <x:v>Opening cash funded</x:v>
      </x:c>
      <x:c r="D11" s="1"/>
      <x:c r="E11" s="25" t="n">
        <x:f>'Assumptions'!E12</x:f>
        <x:v>3</x:v>
      </x:c>
      <x:c r="F11" s="2"/>
      <x:c r="G11" s="2" t="str">
        <x:v>Sponsor injections explicitly fund cash deficits.</x:v>
      </x:c>
      <x:c r="H11" s="2"/>
      <x:c r="I11" s="2"/>
      <x:c r="J11" s="2"/>
      <x:c r="K11" s="2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 t="str">
        <x:v>Initial acquisition debt</x:v>
      </x:c>
      <x:c r="D12" s="1"/>
      <x:c r="E12" s="25" t="n">
        <x:f>K4*'Assumptions'!E9</x:f>
        <x:v>64</x:v>
      </x:c>
      <x:c r="F12" s="2"/>
      <x:c r="G12" s="2"/>
      <x:c r="H12" s="2"/>
      <x:c r="I12" s="2"/>
      <x:c r="J12" s="2"/>
      <x:c r="K12" s="2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30" t="str">
        <x:v>Total uses</x:v>
      </x:c>
      <x:c r="D13" s="30"/>
      <x:c r="E13" s="32" t="n">
        <x:f>SUM(E8:E11)</x:f>
        <x:v>101.56</x:v>
      </x:c>
      <x:c r="F13" s="32"/>
      <x:c r="G13" s="32" t="str">
        <x:v>Returns assume all required sponsor funding is available.</x:v>
      </x:c>
      <x:c r="H13" s="32"/>
      <x:c r="I13" s="32"/>
      <x:c r="J13" s="2"/>
      <x:c r="K13" s="2"/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30" t="str">
        <x:v>Initial sponsor equity</x:v>
      </x:c>
      <x:c r="D14" s="30"/>
      <x:c r="E14" s="32" t="n">
        <x:f>E13-E12</x:f>
        <x:v>37.56</x:v>
      </x:c>
      <x:c r="F14" s="32"/>
      <x:c r="G14" s="32"/>
      <x:c r="H14" s="32"/>
      <x:c r="I14" s="32"/>
      <x:c r="J14" s="2"/>
      <x:c r="K14" s="2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 t="str">
        <x:v>Total sources</x:v>
      </x:c>
      <x:c r="D15" s="1"/>
      <x:c r="E15" s="2" t="n">
        <x:f>E12+E14</x:f>
        <x:v>101.56</x:v>
      </x:c>
      <x:c r="F15" s="2"/>
      <x:c r="G15" s="2"/>
      <x:c r="H15" s="2"/>
      <x:c r="I15" s="2"/>
      <x:c r="J15" s="2"/>
      <x:c r="K15" s="2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30" t="str">
        <x:v>Sources less uses</x:v>
      </x:c>
      <x:c r="D16" s="30"/>
      <x:c r="E16" s="41" t="n">
        <x:f>E15-E13</x:f>
        <x:v>0</x:v>
      </x:c>
      <x:c r="F16" s="32"/>
      <x:c r="G16" s="32"/>
      <x:c r="H16" s="32"/>
      <x:c r="I16" s="32"/>
      <x:c r="J16" s="2"/>
      <x:c r="K16" s="2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/>
      <x:c r="D17" s="1"/>
      <x:c r="E17" s="2"/>
      <x:c r="F17" s="2"/>
      <x:c r="G17" s="2"/>
      <x:c r="H17" s="2"/>
      <x:c r="I17" s="2"/>
      <x:c r="J17" s="2"/>
      <x:c r="K17" s="2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/>
      <x:c r="D18" s="1"/>
      <x:c r="E18" s="2"/>
      <x:c r="F18" s="2"/>
      <x:c r="G18" s="2"/>
      <x:c r="H18" s="2"/>
      <x:c r="I18" s="2"/>
      <x:c r="J18" s="2"/>
      <x:c r="K18" s="2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/>
      <x:c r="D19" s="1"/>
      <x:c r="E19" s="2"/>
      <x:c r="F19" s="2"/>
      <x:c r="G19" s="2"/>
      <x:c r="H19" s="2"/>
      <x:c r="I19" s="2"/>
      <x:c r="J19" s="2"/>
      <x:c r="K19" s="2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/>
      <x:c r="D20" s="1"/>
      <x:c r="E20" s="20" t="n">
        <x:v>2026</x:v>
      </x:c>
      <x:c r="F20" s="20" t="n">
        <x:v>2027</x:v>
      </x:c>
      <x:c r="G20" s="20" t="n">
        <x:v>2028</x:v>
      </x:c>
      <x:c r="H20" s="20" t="n">
        <x:v>2029</x:v>
      </x:c>
      <x:c r="I20" s="20" t="n">
        <x:v>2030</x:v>
      </x:c>
      <x:c r="J20" s="2"/>
      <x:c r="K20" s="2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 t="str">
        <x:v>Opening debt</x:v>
      </x:c>
      <x:c r="D21" s="1"/>
      <x:c r="E21" s="2" t="n">
        <x:f>$E$12</x:f>
        <x:v>64</x:v>
      </x:c>
      <x:c r="F21" s="2" t="n">
        <x:f>E31</x:f>
        <x:v>62.72</x:v>
      </x:c>
      <x:c r="G21" s="2" t="n">
        <x:f>F31</x:f>
        <x:v>61.0792</x:v>
      </x:c>
      <x:c r="H21" s="2" t="n">
        <x:f>G31</x:f>
        <x:v>58.226012</x:v>
      </x:c>
      <x:c r="I21" s="2" t="n">
        <x:f>H31</x:f>
        <x:v>53.91452898</x:v>
      </x:c>
      <x:c r="J21" s="2"/>
      <x:c r="K21" s="2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1" t="str">
        <x:v>Cash interest on opening debt</x:v>
      </x:c>
      <x:c r="D22" s="1"/>
      <x:c r="E22" s="25" t="n">
        <x:f>E21*'Assumptions'!$E$26</x:f>
        <x:v>6.4</x:v>
      </x:c>
      <x:c r="F22" s="25" t="n">
        <x:f>F21*'Assumptions'!$E$26</x:f>
        <x:v>6.272</x:v>
      </x:c>
      <x:c r="G22" s="25" t="n">
        <x:f>G21*'Assumptions'!$E$26</x:f>
        <x:v>6.10792</x:v>
      </x:c>
      <x:c r="H22" s="25" t="n">
        <x:f>H21*'Assumptions'!$E$26</x:f>
        <x:v>5.8226012</x:v>
      </x:c>
      <x:c r="I22" s="25" t="n">
        <x:f>I21*'Assumptions'!$E$26</x:f>
        <x:v>5.391452898000001</x:v>
      </x:c>
      <x:c r="J22" s="2"/>
      <x:c r="K22" s="2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 t="str">
        <x:v>Cash tax after interest</x:v>
      </x:c>
      <x:c r="D23" s="1"/>
      <x:c r="E23" s="25" t="n">
        <x:f>MAX('Operations'!E13-E22,0)*'Assumptions'!$E$13</x:f>
        <x:v>0.7174999999999998</x:v>
      </x:c>
      <x:c r="F23" s="25" t="n">
        <x:f>MAX('Operations'!F13-F22,0)*'Assumptions'!$E$13</x:f>
        <x:v>1.1100000000000003</x:v>
      </x:c>
      <x:c r="G23" s="25" t="n">
        <x:f>MAX('Operations'!G13-G22,0)*'Assumptions'!$E$13</x:f>
        <x:v>1.5366520000000001</x:v>
      </x:c>
      <x:c r="H23" s="25" t="n">
        <x:f>MAX('Operations'!H13-H22,0)*'Assumptions'!$E$13</x:f>
        <x:v>1.9867580200000001</x:v>
      </x:c>
      <x:c r="I23" s="25" t="n">
        <x:f>MAX('Operations'!I13-I22,0)*'Assumptions'!$E$13</x:f>
        <x:v>2.1806053035</x:v>
      </x:c>
      <x:c r="J23" s="2"/>
      <x:c r="K23" s="2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 t="str">
        <x:v>Cash after interest, tax and investment</x:v>
      </x:c>
      <x:c r="D24" s="1"/>
      <x:c r="E24" s="25" t="n">
        <x:f>'Operations'!E11-E22-E23-'Operations'!E16-'Operations'!E18</x:f>
        <x:v>0.6725000000000012</x:v>
      </x:c>
      <x:c r="F24" s="25" t="n">
        <x:f>'Operations'!F11-F22-F23-'Operations'!F16-'Operations'!F18</x:f>
        <x:v>1.6407999999999987</x:v>
      </x:c>
      <x:c r="G24" s="25" t="n">
        <x:f>'Operations'!G11-G22-G23-'Operations'!G16-'Operations'!G18</x:f>
        <x:v>2.8531880000000003</x:v>
      </x:c>
      <x:c r="H24" s="25" t="n">
        <x:f>'Operations'!H11-H22-H23-'Operations'!H16-'Operations'!H18</x:f>
        <x:v>4.311483019999998</x:v>
      </x:c>
      <x:c r="I24" s="25" t="n">
        <x:f>'Operations'!I11-I22-I23-'Operations'!I16-'Operations'!I18</x:f>
        <x:v>4.935358694500004</x:v>
      </x:c>
      <x:c r="J24" s="2"/>
      <x:c r="K24" s="2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 t="str">
        <x:v>Mandatory amortisation</x:v>
      </x:c>
      <x:c r="D25" s="1"/>
      <x:c r="E25" s="25" t="n">
        <x:f>MIN(E21,$E$12*'Assumptions'!$E$27)</x:f>
        <x:v>1.28</x:v>
      </x:c>
      <x:c r="F25" s="25" t="n">
        <x:f>MIN(F21,$E$12*'Assumptions'!$E$27)</x:f>
        <x:v>1.28</x:v>
      </x:c>
      <x:c r="G25" s="25" t="n">
        <x:f>MIN(G21,$E$12*'Assumptions'!$E$27)</x:f>
        <x:v>1.28</x:v>
      </x:c>
      <x:c r="H25" s="25" t="n">
        <x:f>MIN(H21,$E$12*'Assumptions'!$E$27)</x:f>
        <x:v>1.28</x:v>
      </x:c>
      <x:c r="I25" s="25" t="n">
        <x:f>MIN(I21,$E$12*'Assumptions'!$E$27)</x:f>
        <x:v>1.28</x:v>
      </x:c>
      <x:c r="J25" s="2"/>
      <x:c r="K25" s="2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 t="str">
        <x:v>Opening cash</x:v>
      </x:c>
      <x:c r="D26" s="1"/>
      <x:c r="E26" s="2" t="n">
        <x:f>$E$11</x:f>
        <x:v>3</x:v>
      </x:c>
      <x:c r="F26" s="2" t="n">
        <x:f>E32</x:f>
        <x:v>3</x:v>
      </x:c>
      <x:c r="G26" s="2" t="n">
        <x:f>F32</x:f>
        <x:v>3</x:v>
      </x:c>
      <x:c r="H26" s="2" t="n">
        <x:f>G32</x:f>
        <x:v>3</x:v>
      </x:c>
      <x:c r="I26" s="2" t="n">
        <x:f>H32</x:f>
        <x:v>3</x:v>
      </x:c>
      <x:c r="J26" s="2"/>
      <x:c r="K26" s="2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" t="str">
        <x:v>Cash before sponsor injection</x:v>
      </x:c>
      <x:c r="D27" s="1"/>
      <x:c r="E27" s="2" t="n">
        <x:f>E26+E24-E25</x:f>
        <x:v>2.392500000000001</x:v>
      </x:c>
      <x:c r="F27" s="2" t="n">
        <x:f>F26+F24-F25</x:f>
        <x:v>3.3607999999999985</x:v>
      </x:c>
      <x:c r="G27" s="2" t="n">
        <x:f>G26+G24-G25</x:f>
        <x:v>4.573188</x:v>
      </x:c>
      <x:c r="H27" s="2" t="n">
        <x:f>H26+H24-H25</x:f>
        <x:v>6.031483019999998</x:v>
      </x:c>
      <x:c r="I27" s="2" t="n">
        <x:f>I26+I24-I25</x:f>
        <x:v>6.655358694500004</x:v>
      </x:c>
      <x:c r="J27" s="2"/>
      <x:c r="K27" s="2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 t="str">
        <x:v>Additional sponsor equity required</x:v>
      </x:c>
      <x:c r="D28" s="1"/>
      <x:c r="E28" s="25" t="n">
        <x:f>MAX(0,'Assumptions'!$E$12-E27)</x:f>
        <x:v>0.607499999999999</x:v>
      </x:c>
      <x:c r="F28" s="25" t="n">
        <x:f>MAX(0,'Assumptions'!$E$12-F27)</x:f>
        <x:v>0</x:v>
      </x:c>
      <x:c r="G28" s="25" t="n">
        <x:f>MAX(0,'Assumptions'!$E$12-G27)</x:f>
        <x:v>0</x:v>
      </x:c>
      <x:c r="H28" s="25" t="n">
        <x:f>MAX(0,'Assumptions'!$E$12-H27)</x:f>
        <x:v>0</x:v>
      </x:c>
      <x:c r="I28" s="25" t="n">
        <x:f>MAX(0,'Assumptions'!$E$12-I27)</x:f>
        <x:v>0</x:v>
      </x:c>
      <x:c r="J28" s="2"/>
      <x:c r="K28" s="2"/>
      <x:c r="L28" s="1"/>
      <x:c r="M28" s="1"/>
      <x:c r="N28" s="1"/>
      <x:c r="O28" s="1"/>
      <x:c r="P28" s="1"/>
      <x:c r="Q28" s="1"/>
    </x:row>
    <x:row r="29" ht="21" customHeight="1">
      <x:c r="A29" s="1"/>
      <x:c r="B29" s="1"/>
      <x:c r="C29" s="1" t="str">
        <x:v>Discretionary debt cash sweep</x:v>
      </x:c>
      <x:c r="D29" s="1"/>
      <x:c r="E29" s="25" t="n">
        <x:f>MIN(E21-E25,MAX(0,E27+E28-'Assumptions'!$E$12))</x:f>
        <x:v>0</x:v>
      </x:c>
      <x:c r="F29" s="25" t="n">
        <x:f>MIN(F21-F25,MAX(0,F27+F28-'Assumptions'!$E$12))</x:f>
        <x:v>0.36079999999999846</x:v>
      </x:c>
      <x:c r="G29" s="25" t="n">
        <x:f>MIN(G21-G25,MAX(0,G27+G28-'Assumptions'!$E$12))</x:f>
        <x:v>1.573188</x:v>
      </x:c>
      <x:c r="H29" s="25" t="n">
        <x:f>MIN(H21-H25,MAX(0,H27+H28-'Assumptions'!$E$12))</x:f>
        <x:v>3.031483019999998</x:v>
      </x:c>
      <x:c r="I29" s="25" t="n">
        <x:f>MIN(I21-I25,MAX(0,I27+I28-'Assumptions'!$E$12))</x:f>
        <x:v>3.655358694500004</x:v>
      </x:c>
      <x:c r="J29" s="2"/>
      <x:c r="K29" s="2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 t="str">
        <x:v>Total principal paid</x:v>
      </x:c>
      <x:c r="D30" s="1"/>
      <x:c r="E30" s="2" t="n">
        <x:f>SUM(E25,E29)</x:f>
        <x:v>1.28</x:v>
      </x:c>
      <x:c r="F30" s="2" t="n">
        <x:f>SUM(F25,F29)</x:f>
        <x:v>1.6407999999999985</x:v>
      </x:c>
      <x:c r="G30" s="2" t="n">
        <x:f>SUM(G25,G29)</x:f>
        <x:v>2.8531880000000003</x:v>
      </x:c>
      <x:c r="H30" s="2" t="n">
        <x:f>SUM(H25,H29)</x:f>
        <x:v>4.311483019999998</x:v>
      </x:c>
      <x:c r="I30" s="2" t="n">
        <x:f>SUM(I25,I29)</x:f>
        <x:v>4.935358694500004</x:v>
      </x:c>
      <x:c r="J30" s="2"/>
      <x:c r="K30" s="2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30" t="str">
        <x:v>Ending acquisition debt</x:v>
      </x:c>
      <x:c r="D31" s="30"/>
      <x:c r="E31" s="32" t="n">
        <x:f>E21-E30</x:f>
        <x:v>62.72</x:v>
      </x:c>
      <x:c r="F31" s="32" t="n">
        <x:f>F21-F30</x:f>
        <x:v>61.0792</x:v>
      </x:c>
      <x:c r="G31" s="32" t="n">
        <x:f>G21-G30</x:f>
        <x:v>58.226012</x:v>
      </x:c>
      <x:c r="H31" s="32" t="n">
        <x:f>H21-H30</x:f>
        <x:v>53.91452898</x:v>
      </x:c>
      <x:c r="I31" s="32" t="n">
        <x:f>I21-I30</x:f>
        <x:v>48.9791702855</x:v>
      </x:c>
      <x:c r="J31" s="2"/>
      <x:c r="K31" s="2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30" t="str">
        <x:v>Ending cash</x:v>
      </x:c>
      <x:c r="D32" s="30"/>
      <x:c r="E32" s="32" t="n">
        <x:f>E27+E28-E29</x:f>
        <x:v>3</x:v>
      </x:c>
      <x:c r="F32" s="32" t="n">
        <x:f>F27+F28-F29</x:f>
        <x:v>3</x:v>
      </x:c>
      <x:c r="G32" s="32" t="n">
        <x:f>G27+G28-G29</x:f>
        <x:v>3</x:v>
      </x:c>
      <x:c r="H32" s="32" t="n">
        <x:f>H27+H28-H29</x:f>
        <x:v>3</x:v>
      </x:c>
      <x:c r="I32" s="32" t="n">
        <x:f>I27+I28-I29</x:f>
        <x:v>3</x:v>
      </x:c>
      <x:c r="J32" s="2"/>
      <x:c r="K32" s="2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1"/>
      <x:c r="D33" s="1"/>
      <x:c r="E33" s="2"/>
      <x:c r="F33" s="2"/>
      <x:c r="G33" s="2"/>
      <x:c r="H33" s="2"/>
      <x:c r="I33" s="2"/>
      <x:c r="J33" s="2"/>
      <x:c r="K33" s="2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/>
      <x:c r="D34" s="1"/>
      <x:c r="E34" s="2"/>
      <x:c r="F34" s="2"/>
      <x:c r="G34" s="2"/>
      <x:c r="H34" s="2"/>
      <x:c r="I34" s="2"/>
      <x:c r="J34" s="2"/>
      <x:c r="K34" s="2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 t="str">
        <x:v>Sponsor cash flows</x:v>
      </x:c>
      <x:c r="D35" s="1" t="n">
        <x:f>-E14</x:f>
        <x:v>-37.56</x:v>
      </x:c>
      <x:c r="E35" s="2" t="n">
        <x:f>-E28</x:f>
        <x:v>-0.607499999999999</x:v>
      </x:c>
      <x:c r="F35" s="2" t="n">
        <x:f>-F28</x:f>
        <x:v>0</x:v>
      </x:c>
      <x:c r="G35" s="2" t="n">
        <x:f>-G28</x:f>
        <x:v>0</x:v>
      </x:c>
      <x:c r="H35" s="2" t="n">
        <x:f>-H28</x:f>
        <x:v>0</x:v>
      </x:c>
      <x:c r="I35" s="2" t="n">
        <x:f>-I28+$E$39</x:f>
        <x:v>66.9318226105</x:v>
      </x:c>
      <x:c r="J35" s="2"/>
      <x:c r="K35" s="2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/>
      <x:c r="D36" s="1"/>
      <x:c r="E36" s="2"/>
      <x:c r="F36" s="2"/>
      <x:c r="G36" s="2"/>
      <x:c r="H36" s="2"/>
      <x:c r="I36" s="2"/>
      <x:c r="J36" s="2"/>
      <x:c r="K36" s="2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 t="str">
        <x:v>Exit enterprise value</x:v>
      </x:c>
      <x:c r="D37" s="1"/>
      <x:c r="E37" s="25" t="n">
        <x:f>$H$4*'Operations'!I11</x:f>
        <x:v>112.91099289600001</x:v>
      </x:c>
      <x:c r="F37" s="2"/>
      <x:c r="G37" s="2"/>
      <x:c r="H37" s="2"/>
      <x:c r="I37" s="2"/>
      <x:c r="J37" s="2"/>
      <x:c r="K37" s="2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 t="str">
        <x:v>Exit debt</x:v>
      </x:c>
      <x:c r="D38" s="1"/>
      <x:c r="E38" s="2" t="n">
        <x:f>I31</x:f>
        <x:v>48.9791702855</x:v>
      </x:c>
      <x:c r="F38" s="2"/>
      <x:c r="G38" s="2"/>
      <x:c r="H38" s="2"/>
      <x:c r="I38" s="2"/>
      <x:c r="J38" s="2"/>
      <x:c r="K38" s="2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30" t="str">
        <x:v>Exit equity proceeds</x:v>
      </x:c>
      <x:c r="D39" s="30"/>
      <x:c r="E39" s="32" t="n">
        <x:f>MAX(0,E37+I32-E38)</x:f>
        <x:v>66.9318226105</x:v>
      </x:c>
      <x:c r="F39" s="32"/>
      <x:c r="G39" s="32"/>
      <x:c r="H39" s="32"/>
      <x:c r="I39" s="32"/>
      <x:c r="J39" s="2"/>
      <x:c r="K39" s="2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 t="str">
        <x:v>Total sponsor capital invested</x:v>
      </x:c>
      <x:c r="D40" s="1"/>
      <x:c r="E40" s="2" t="n">
        <x:f>E14+SUM(E28:I28)</x:f>
        <x:v>38.167500000000004</x:v>
      </x:c>
      <x:c r="F40" s="2"/>
      <x:c r="G40" s="2"/>
      <x:c r="H40" s="2"/>
      <x:c r="I40" s="2"/>
      <x:c r="J40" s="2"/>
      <x:c r="K40" s="2"/>
      <x:c r="L40" s="1"/>
      <x:c r="M40" s="1"/>
      <x:c r="N40" s="1"/>
      <x:c r="O40" s="1"/>
      <x:c r="P40" s="1"/>
      <x:c r="Q40" s="1"/>
    </x:row>
    <x:row r="41" ht="21" customHeight="1">
      <x:c r="A41" s="1"/>
      <x:c r="B41" s="1"/>
      <x:c r="C41" s="30" t="str">
        <x:v>Sponsor MOIC</x:v>
      </x:c>
      <x:c r="D41" s="30"/>
      <x:c r="E41" s="43" t="n">
        <x:f>E39/E40</x:f>
        <x:v>1.7536339191851706</x:v>
      </x:c>
      <x:c r="F41" s="32"/>
      <x:c r="G41" s="32"/>
      <x:c r="H41" s="32"/>
      <x:c r="I41" s="32"/>
      <x:c r="J41" s="2"/>
      <x:c r="K41" s="2"/>
      <x:c r="L41" s="1"/>
      <x:c r="M41" s="1"/>
      <x:c r="N41" s="1"/>
      <x:c r="O41" s="1"/>
      <x:c r="P41" s="1"/>
      <x:c r="Q41" s="1"/>
    </x:row>
    <x:row r="42" ht="21" customHeight="1">
      <x:c r="A42" s="1"/>
      <x:c r="B42" s="1"/>
      <x:c r="C42" s="30" t="str">
        <x:v>Sponsor annual IRR</x:v>
      </x:c>
      <x:c r="D42" s="30"/>
      <x:c r="E42" s="45" t="n">
        <x:f>IF(E39&lt;=0,"n.a.",IRR(D35:I35))</x:f>
        <x:v>0.11927095518631867</x:v>
      </x:c>
      <x:c r="F42" s="32"/>
      <x:c r="G42" s="32"/>
      <x:c r="H42" s="32"/>
      <x:c r="I42" s="32"/>
      <x:c r="J42" s="2"/>
      <x:c r="K42" s="2"/>
      <x:c r="L42" s="1"/>
      <x:c r="M42" s="1"/>
      <x:c r="N42" s="1"/>
      <x:c r="O42" s="1"/>
      <x:c r="P42" s="1"/>
      <x:c r="Q42" s="1"/>
    </x:row>
    <x:row r="43" ht="21" customHeight="1">
      <x:c r="A43" s="1"/>
      <x:c r="B43" s="1"/>
      <x:c r="C43" s="1" t="str">
        <x:v>Total additional sponsor equity</x:v>
      </x:c>
      <x:c r="D43" s="1"/>
      <x:c r="E43" s="2" t="n">
        <x:f>SUM(E28:I28)</x:f>
        <x:v>0.607499999999999</x:v>
      </x:c>
      <x:c r="F43" s="2"/>
      <x:c r="G43" s="2"/>
      <x:c r="H43" s="2"/>
      <x:c r="I43" s="2"/>
      <x:c r="J43" s="2"/>
      <x:c r="K43" s="2"/>
      <x:c r="L43" s="1"/>
      <x:c r="M43" s="1"/>
      <x:c r="N43" s="1"/>
      <x:c r="O43" s="1"/>
      <x:c r="P43" s="1"/>
      <x:c r="Q43" s="1"/>
    </x:row>
    <x:row r="44" ht="21" customHeight="1">
      <x:c r="A44" s="1"/>
      <x:c r="B44" s="1"/>
      <x:c r="C44" s="1"/>
      <x:c r="D44" s="1"/>
      <x:c r="E44" s="2"/>
      <x:c r="F44" s="2"/>
      <x:c r="G44" s="2"/>
      <x:c r="H44" s="2"/>
      <x:c r="I44" s="2"/>
      <x:c r="J44" s="2"/>
      <x:c r="K44" s="2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1"/>
      <x:c r="D45" s="1"/>
      <x:c r="E45" s="2"/>
      <x:c r="F45" s="2"/>
      <x:c r="G45" s="2"/>
      <x:c r="H45" s="2"/>
      <x:c r="I45" s="2"/>
      <x:c r="J45" s="2"/>
      <x:c r="K45" s="2"/>
      <x:c r="L45" s="1"/>
      <x:c r="M45" s="1"/>
      <x:c r="N45" s="1"/>
      <x:c r="O45" s="1"/>
      <x:c r="P45" s="1"/>
      <x:c r="Q45" s="1"/>
    </x:row>
    <x:row r="46" ht="24" customHeight="1">
      <x:c r="A46" s="1"/>
      <x:c r="B46" s="1"/>
      <x:c r="C46" s="10" t="str">
        <x:v>MOIC sensitivity: rows entry multiple / columns exit multiple</x:v>
      </x:c>
      <x:c r="D46" s="10"/>
      <x:c r="E46" s="35"/>
      <x:c r="F46" s="35"/>
      <x:c r="G46" s="35"/>
      <x:c r="H46" s="35"/>
      <x:c r="I46" s="35"/>
      <x:c r="J46" s="35"/>
      <x:c r="K46" s="35"/>
      <x:c r="L46" s="1"/>
      <x:c r="M46" s="1"/>
      <x:c r="N46" s="1"/>
      <x:c r="O46" s="1"/>
      <x:c r="P46" s="1"/>
      <x:c r="Q46" s="1"/>
    </x:row>
    <x:row r="47" ht="21" customHeight="1">
      <x:c r="A47" s="1"/>
      <x:c r="B47" s="1"/>
      <x:c r="C47" s="1"/>
      <x:c r="D47" s="1"/>
      <x:c r="E47" s="2"/>
      <x:c r="F47" s="2"/>
      <x:c r="G47" s="2"/>
      <x:c r="H47" s="2"/>
      <x:c r="I47" s="2"/>
      <x:c r="J47" s="2"/>
      <x:c r="K47" s="2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36" t="n">
        <x:f>E41</x:f>
        <x:v>1.7536339191851706</x:v>
      </x:c>
      <x:c r="F48" s="37" t="n">
        <x:v>4</x:v>
      </x:c>
      <x:c r="G48" s="37" t="n">
        <x:v>5</x:v>
      </x:c>
      <x:c r="H48" s="37" t="n">
        <x:v>6</x:v>
      </x:c>
      <x:c r="I48" s="37" t="n">
        <x:v>7</x:v>
      </x:c>
      <x:c r="J48" s="37" t="n">
        <x:v>8</x:v>
      </x:c>
      <x:c r="K48" s="2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37" t="n">
        <x:v>4</x:v>
      </x:c>
      <x:c r="F49" s="37" t="n">
        <x:f t="dataTable" ref="F49:J53" dt2D="1" r1="H4" r2="E4"/>
        <x:v>5.2998326510176</x:v>
      </x:c>
      <x:c r="G49" s="37" t="n">
        <x:v>8.7043552771597</x:v>
      </x:c>
      <x:c r="H49" s="37" t="n">
        <x:v>12.1088779033017</x:v>
      </x:c>
      <x:c r="I49" s="37" t="n">
        <x:v>15.5134005294437</x:v>
      </x:c>
      <x:c r="J49" s="37" t="n">
        <x:v>18.9179231555857</x:v>
      </x:c>
      <x:c r="K49" s="2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/>
      <x:c r="D50" s="1"/>
      <x:c r="E50" s="37" t="n">
        <x:v>5</x:v>
      </x:c>
      <x:c r="F50" s="37" t="n">
        <x:v>1.3408776738071</x:v>
      </x:c>
      <x:c r="G50" s="37" t="n">
        <x:v>2.2022347542968</x:v>
      </x:c>
      <x:c r="H50" s="37" t="n">
        <x:v>3.0635918347866</x:v>
      </x:c>
      <x:c r="I50" s="37" t="n">
        <x:v>3.9249489152763</x:v>
      </x:c>
      <x:c r="J50" s="37" t="n">
        <x:v>4.7863059957661</x:v>
      </x:c>
      <x:c r="K50" s="2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/>
      <x:c r="D51" s="1"/>
      <x:c r="E51" s="37" t="n">
        <x:v>6</x:v>
      </x:c>
      <x:c r="F51" s="37" t="n">
        <x:v>0.767533241069</x:v>
      </x:c>
      <x:c r="G51" s="37" t="n">
        <x:v>1.2605835801271</x:v>
      </x:c>
      <x:c r="H51" s="37" t="n">
        <x:v>1.7536339191852</x:v>
      </x:c>
      <x:c r="I51" s="37" t="n">
        <x:v>2.2466842582433</x:v>
      </x:c>
      <x:c r="J51" s="37" t="n">
        <x:v>2.7397345973014</x:v>
      </x:c>
      <x:c r="K51" s="2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/>
      <x:c r="D52" s="1"/>
      <x:c r="E52" s="37" t="n">
        <x:v>7</x:v>
      </x:c>
      <x:c r="F52" s="37" t="n">
        <x:v>0.5376430369993</x:v>
      </x:c>
      <x:c r="G52" s="37" t="n">
        <x:v>0.8830158071943</x:v>
      </x:c>
      <x:c r="H52" s="37" t="n">
        <x:v>1.2283885773893</x:v>
      </x:c>
      <x:c r="I52" s="37" t="n">
        <x:v>1.5737613475843</x:v>
      </x:c>
      <x:c r="J52" s="37" t="n">
        <x:v>1.9191341177793</x:v>
      </x:c>
      <x:c r="K52" s="2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37" t="n">
        <x:v>8</x:v>
      </x:c>
      <x:c r="F53" s="37" t="n">
        <x:v>0.4137248875967</x:v>
      </x:c>
      <x:c r="G53" s="37" t="n">
        <x:v>0.6794947398863</x:v>
      </x:c>
      <x:c r="H53" s="37" t="n">
        <x:v>0.945264592176</x:v>
      </x:c>
      <x:c r="I53" s="37" t="n">
        <x:v>1.2110344444656</x:v>
      </x:c>
      <x:c r="J53" s="37" t="n">
        <x:v>1.4768042967553</x:v>
      </x:c>
      <x:c r="K53" s="2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2"/>
      <x:c r="F54" s="2"/>
      <x:c r="G54" s="2"/>
      <x:c r="H54" s="2"/>
      <x:c r="I54" s="2"/>
      <x:c r="J54" s="2"/>
      <x:c r="K54" s="2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2"/>
      <x:c r="F55" s="2"/>
      <x:c r="G55" s="2"/>
      <x:c r="H55" s="2"/>
      <x:c r="I55" s="2"/>
      <x:c r="J55" s="2"/>
      <x:c r="K55" s="2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2"/>
      <x:c r="F56" s="2"/>
      <x:c r="G56" s="2"/>
      <x:c r="H56" s="2"/>
      <x:c r="I56" s="2"/>
      <x:c r="J56" s="2"/>
      <x:c r="K56" s="2"/>
      <x:c r="L56" s="1"/>
      <x:c r="M56" s="1"/>
      <x:c r="N56" s="1"/>
      <x:c r="O56" s="1"/>
      <x:c r="P56" s="1"/>
      <x:c r="Q56" s="1"/>
    </x:row>
    <x:row r="57" ht="21" customHeight="1">
      <x:c r="A57" s="1"/>
      <x:c r="B57" s="1"/>
      <x:c r="C57" s="1"/>
      <x:c r="D57" s="1"/>
      <x:c r="E57" s="2"/>
      <x:c r="F57" s="2"/>
      <x:c r="G57" s="2"/>
      <x:c r="H57" s="2"/>
      <x:c r="I57" s="2"/>
      <x:c r="J57" s="2"/>
      <x:c r="K57" s="2"/>
      <x:c r="L57" s="1"/>
      <x:c r="M57" s="1"/>
      <x:c r="N57" s="1"/>
      <x:c r="O57" s="1"/>
      <x:c r="P57" s="1"/>
      <x:c r="Q57" s="1"/>
    </x:row>
    <x:row r="58" ht="21" customHeight="1">
      <x:c r="A58" s="1"/>
      <x:c r="B58" s="1"/>
      <x:c r="C58" s="1"/>
      <x:c r="D58" s="1"/>
      <x:c r="E58" s="2"/>
      <x:c r="F58" s="2"/>
      <x:c r="G58" s="2"/>
      <x:c r="H58" s="2"/>
      <x:c r="I58" s="2"/>
      <x:c r="J58" s="2"/>
      <x:c r="K58" s="2"/>
      <x:c r="L58" s="1"/>
      <x:c r="M58" s="1"/>
      <x:c r="N58" s="1"/>
      <x:c r="O58" s="1"/>
      <x:c r="P58" s="1"/>
      <x:c r="Q58" s="1"/>
    </x:row>
    <x:row r="59" ht="21" customHeight="1">
      <x:c r="A59" s="1"/>
      <x:c r="B59" s="1"/>
      <x:c r="C59" s="1"/>
      <x:c r="D59" s="1"/>
      <x:c r="E59" s="2"/>
      <x:c r="F59" s="2"/>
      <x:c r="G59" s="2"/>
      <x:c r="H59" s="2"/>
      <x:c r="I59" s="2"/>
      <x:c r="J59" s="2"/>
      <x:c r="K59" s="2"/>
      <x:c r="L59" s="1"/>
      <x:c r="M59" s="1"/>
      <x:c r="N59" s="1"/>
      <x:c r="O59" s="1"/>
      <x:c r="P59" s="1"/>
      <x:c r="Q59" s="1"/>
    </x:row>
    <x:row r="60" ht="21" customHeight="1">
      <x:c r="A60" s="1"/>
      <x:c r="B60" s="1"/>
      <x:c r="C60" s="1"/>
      <x:c r="D60" s="1"/>
      <x:c r="E60" s="2"/>
      <x:c r="F60" s="2"/>
      <x:c r="G60" s="2"/>
      <x:c r="H60" s="2"/>
      <x:c r="I60" s="2"/>
      <x:c r="J60" s="2"/>
      <x:c r="K60" s="2"/>
      <x:c r="L60" s="1"/>
      <x:c r="M60" s="1"/>
      <x:c r="N60" s="1"/>
      <x:c r="O60" s="1"/>
      <x:c r="P60" s="1"/>
      <x:c r="Q60" s="1"/>
    </x:row>
    <x:row r="61" ht="21" customHeight="1">
      <x:c r="A61" s="1"/>
      <x:c r="B61" s="1"/>
      <x:c r="C61" s="1"/>
      <x:c r="D61" s="1"/>
      <x:c r="E61" s="2"/>
      <x:c r="F61" s="2"/>
      <x:c r="G61" s="2"/>
      <x:c r="H61" s="2"/>
      <x:c r="I61" s="2"/>
      <x:c r="J61" s="2"/>
      <x:c r="K61" s="2"/>
      <x:c r="L61" s="1"/>
      <x:c r="M61" s="1"/>
      <x:c r="N61" s="1"/>
      <x:c r="O61" s="1"/>
      <x:c r="P61" s="1"/>
      <x:c r="Q61" s="1"/>
    </x:row>
    <x:row r="62" ht="21" customHeight="1">
      <x:c r="A62" s="1"/>
      <x:c r="B62" s="1"/>
      <x:c r="C62" s="1"/>
      <x:c r="D62" s="1"/>
      <x:c r="E62" s="2"/>
      <x:c r="F62" s="2"/>
      <x:c r="G62" s="2"/>
      <x:c r="H62" s="2"/>
      <x:c r="I62" s="2"/>
      <x:c r="J62" s="2"/>
      <x:c r="K62" s="2"/>
      <x:c r="L62" s="1"/>
      <x:c r="M62" s="1"/>
      <x:c r="N62" s="1"/>
      <x:c r="O62" s="1"/>
      <x:c r="P62" s="1"/>
      <x:c r="Q62" s="1"/>
    </x:row>
    <x:row r="63" ht="21" customHeight="1">
      <x:c r="A63" s="1"/>
      <x:c r="B63" s="1"/>
      <x:c r="C63" s="1"/>
      <x:c r="D63" s="1"/>
      <x:c r="E63" s="2"/>
      <x:c r="F63" s="2"/>
      <x:c r="G63" s="2"/>
      <x:c r="H63" s="2"/>
      <x:c r="I63" s="2"/>
      <x:c r="J63" s="2"/>
      <x:c r="K63" s="2"/>
      <x:c r="L63" s="1"/>
      <x:c r="M63" s="1"/>
      <x:c r="N63" s="1"/>
      <x:c r="O63" s="1"/>
      <x:c r="P63" s="1"/>
      <x:c r="Q63" s="1"/>
    </x:row>
    <x:row r="64" ht="21" customHeight="1">
      <x:c r="A64" s="1"/>
      <x:c r="B64" s="1"/>
      <x:c r="C64" s="1"/>
      <x:c r="D64" s="1"/>
      <x:c r="E64" s="2"/>
      <x:c r="F64" s="2"/>
      <x:c r="G64" s="2"/>
      <x:c r="H64" s="2"/>
      <x:c r="I64" s="2"/>
      <x:c r="J64" s="2"/>
      <x:c r="K64" s="2"/>
      <x:c r="L64" s="1"/>
      <x:c r="M64" s="1"/>
      <x:c r="N64" s="1"/>
      <x:c r="O64" s="1"/>
      <x:c r="P64" s="1"/>
      <x:c r="Q64" s="1"/>
    </x:row>
    <x:row r="65" ht="21" customHeight="1">
      <x:c r="A65" s="1"/>
      <x:c r="B65" s="1"/>
      <x:c r="C65" s="1"/>
      <x:c r="D65" s="1"/>
      <x:c r="E65" s="2"/>
      <x:c r="F65" s="2"/>
      <x:c r="G65" s="2"/>
      <x:c r="H65" s="2"/>
      <x:c r="I65" s="2"/>
      <x:c r="J65" s="2"/>
      <x:c r="K65" s="2"/>
      <x:c r="L65" s="1"/>
      <x:c r="M65" s="1"/>
      <x:c r="N65" s="1"/>
      <x:c r="O65" s="1"/>
      <x:c r="P65" s="1"/>
      <x:c r="Q65" s="1"/>
    </x:row>
  </x:sheetData>
  <x:conditionalFormatting sqref="E16:E16">
    <x:cfRule type="expression" dxfId="0" priority="1">
      <x:formula>ABS(E16)&gt;0.000001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7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/>
      <x:c r="B2" s="1"/>
      <x:c r="C2" s="5" t="str">
        <x:v>Maturity budget and illustrative creditor recoveries</x:v>
      </x:c>
      <x:c r="D2" s="5"/>
      <x:c r="E2" s="5"/>
      <x:c r="F2" s="5"/>
      <x:c r="G2" s="5"/>
      <x:c r="H2" s="5"/>
      <x:c r="I2" s="5"/>
      <x:c r="J2" s="5"/>
      <x:c r="K2" s="5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 t="str">
        <x:v>Case selected:</x:v>
      </x:c>
      <x:c r="D3" s="1"/>
      <x:c r="E3" s="4" t="str">
        <x:f>'Assumptions'!G3</x:f>
        <x:v>Base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1"/>
      <x:c r="B7" s="1"/>
      <x:c r="C7" s="1"/>
      <x:c r="D7" s="1"/>
      <x:c r="E7" s="20" t="n">
        <x:v>2026</x:v>
      </x:c>
      <x:c r="F7" s="20" t="n">
        <x:v>2027</x:v>
      </x:c>
      <x:c r="G7" s="20" t="n">
        <x:v>2028</x:v>
      </x:c>
      <x:c r="H7" s="20" t="n">
        <x:v>2029</x:v>
      </x:c>
      <x:c r="I7" s="20" t="n">
        <x:v>2030</x:v>
      </x:c>
      <x:c r="J7" s="2"/>
      <x:c r="K7" s="2"/>
      <x:c r="L7" s="1"/>
      <x:c r="M7" s="1"/>
      <x:c r="N7" s="1"/>
      <x:c r="O7" s="1"/>
      <x:c r="P7" s="1"/>
      <x:c r="Q7" s="1"/>
    </x:row>
    <x:row r="8" ht="21" customHeight="1">
      <x:c r="A8" s="1"/>
      <x:c r="B8" s="1"/>
      <x:c r="C8" s="1" t="str">
        <x:v>Opening unfunded cash budget</x:v>
      </x:c>
      <x:c r="D8" s="1"/>
      <x:c r="E8" s="25" t="n">
        <x:f>'Assumptions'!$E$11</x:f>
        <x:v>4</x:v>
      </x:c>
      <x:c r="F8" s="2" t="n">
        <x:f>E14</x:f>
        <x:v>3.285000000000001</x:v>
      </x:c>
      <x:c r="G8" s="2" t="n">
        <x:f>F14</x:f>
        <x:v>3.4422999999999995</x:v>
      </x:c>
      <x:c r="H8" s="2" t="n">
        <x:f>G14</x:f>
        <x:v>-30.311072</x:v>
      </x:c>
      <x:c r="I8" s="2" t="n">
        <x:f>H14</x:f>
        <x:v>-24.67013808</x:v>
      </x:c>
      <x:c r="J8" s="2"/>
      <x:c r="K8" s="2"/>
      <x:c r="L8" s="1"/>
      <x:c r="M8" s="1"/>
      <x:c r="N8" s="1"/>
      <x:c r="O8" s="1"/>
      <x:c r="P8" s="1"/>
      <x:c r="Q8" s="1"/>
    </x:row>
    <x:row r="9" ht="21" customHeight="1">
      <x:c r="A9" s="1"/>
      <x:c r="B9" s="1"/>
      <x:c r="C9" s="1" t="str">
        <x:v>Interest on scheduled debt</x:v>
      </x:c>
      <x:c r="D9" s="1"/>
      <x:c r="E9" s="25" t="n">
        <x:f>IF(E$7&lt;='Assumptions'!$E$19,'Assumptions'!$E$17*'Assumptions'!$E$18,0)+IF(E$7&lt;='Assumptions'!$E$22,'Assumptions'!$E$20*'Assumptions'!$E$21,0)</x:f>
        <x:v>8.25</x:v>
      </x:c>
      <x:c r="F9" s="25" t="n">
        <x:f>IF(F$7&lt;='Assumptions'!$E$19,'Assumptions'!$E$17*'Assumptions'!$E$18,0)+IF(F$7&lt;='Assumptions'!$E$22,'Assumptions'!$E$20*'Assumptions'!$E$21,0)</x:f>
        <x:v>8.25</x:v>
      </x:c>
      <x:c r="G9" s="25" t="n">
        <x:f>IF(G$7&lt;='Assumptions'!$E$19,'Assumptions'!$E$17*'Assumptions'!$E$18,0)+IF(G$7&lt;='Assumptions'!$E$22,'Assumptions'!$E$20*'Assumptions'!$E$21,0)</x:f>
        <x:v>8.25</x:v>
      </x:c>
      <x:c r="H9" s="25" t="n">
        <x:f>IF(H$7&lt;='Assumptions'!$E$19,'Assumptions'!$E$17*'Assumptions'!$E$18,0)+IF(H$7&lt;='Assumptions'!$E$22,'Assumptions'!$E$20*'Assumptions'!$E$21,0)</x:f>
        <x:v>4.05</x:v>
      </x:c>
      <x:c r="I9" s="25" t="n">
        <x:f>IF(I$7&lt;='Assumptions'!$E$19,'Assumptions'!$E$17*'Assumptions'!$E$18,0)+IF(I$7&lt;='Assumptions'!$E$22,'Assumptions'!$E$20*'Assumptions'!$E$21,0)</x:f>
        <x:v>4.05</x:v>
      </x:c>
      <x:c r="J9" s="2"/>
      <x:c r="K9" s="2"/>
      <x:c r="L9" s="1"/>
      <x:c r="M9" s="1"/>
      <x:c r="N9" s="1"/>
      <x:c r="O9" s="1"/>
      <x:c r="P9" s="1"/>
      <x:c r="Q9" s="1"/>
    </x:row>
    <x:row r="10" ht="21" customHeight="1">
      <x:c r="A10" s="1"/>
      <x:c r="B10" s="1"/>
      <x:c r="C10" s="1" t="str">
        <x:v>Cash tax after interest</x:v>
      </x:c>
      <x:c r="D10" s="1"/>
      <x:c r="E10" s="25" t="n">
        <x:f>MAX('Operations'!E13-E9,0)*'Assumptions'!$E$13</x:f>
        <x:v>0.2549999999999999</x:v>
      </x:c>
      <x:c r="F10" s="25" t="n">
        <x:f>MAX('Operations'!F13-F9,0)*'Assumptions'!$E$13</x:f>
        <x:v>0.6155000000000004</x:v>
      </x:c>
      <x:c r="G10" s="25" t="n">
        <x:f>MAX('Operations'!G13-G9,0)*'Assumptions'!$E$13</x:f>
        <x:v>1.0011320000000001</x:v>
      </x:c>
      <x:c r="H10" s="25" t="n">
        <x:f>MAX('Operations'!H13-H9,0)*'Assumptions'!$E$13</x:f>
        <x:v>2.42990832</x:v>
      </x:c>
      <x:c r="I10" s="25" t="n">
        <x:f>MAX('Operations'!I13-I9,0)*'Assumptions'!$E$13</x:f>
        <x:v>2.515968528</x:v>
      </x:c>
      <x:c r="J10" s="2"/>
      <x:c r="K10" s="2"/>
      <x:c r="L10" s="1"/>
      <x:c r="M10" s="1"/>
      <x:c r="N10" s="1"/>
      <x:c r="O10" s="1"/>
      <x:c r="P10" s="1"/>
      <x:c r="Q10" s="1"/>
    </x:row>
    <x:row r="11" ht="21" customHeight="1">
      <x:c r="A11" s="1"/>
      <x:c r="B11" s="1"/>
      <x:c r="C11" s="1" t="str">
        <x:v>Cash after interest, tax and investment</x:v>
      </x:c>
      <x:c r="D11" s="1"/>
      <x:c r="E11" s="25" t="n">
        <x:f>'Operations'!E11-E9-E10-'Operations'!E16-'Operations'!E18</x:f>
        <x:v>-0.714999999999999</x:v>
      </x:c>
      <x:c r="F11" s="25" t="n">
        <x:f>'Operations'!F11-F9-F10-'Operations'!F16-'Operations'!F18</x:f>
        <x:v>0.15729999999999844</x:v>
      </x:c>
      <x:c r="G11" s="25" t="n">
        <x:f>'Operations'!G11-G9-G10-'Operations'!G16-'Operations'!G18</x:f>
        <x:v>1.2466280000000003</x:v>
      </x:c>
      <x:c r="H11" s="25" t="n">
        <x:f>'Operations'!H11-H9-H10-'Operations'!H16-'Operations'!H18</x:f>
        <x:v>5.640933919999999</x:v>
      </x:c>
      <x:c r="I11" s="25" t="n">
        <x:f>'Operations'!I11-I9-I10-'Operations'!I16-'Operations'!I18</x:f>
        <x:v>5.941448368000004</x:v>
      </x:c>
      <x:c r="J11" s="2"/>
      <x:c r="K11" s="2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 t="str">
        <x:v>Scheduled principal due</x:v>
      </x:c>
      <x:c r="D12" s="1"/>
      <x:c r="E12" s="25" t="n">
        <x:f>IF(E$7='Assumptions'!$E$19,'Assumptions'!$E$17,0)+IF(E$7='Assumptions'!$E$22,'Assumptions'!$E$20,0)</x:f>
        <x:v>0</x:v>
      </x:c>
      <x:c r="F12" s="25" t="n">
        <x:f>IF(F$7='Assumptions'!$E$19,'Assumptions'!$E$17,0)+IF(F$7='Assumptions'!$E$22,'Assumptions'!$E$20,0)</x:f>
        <x:v>0</x:v>
      </x:c>
      <x:c r="G12" s="25" t="n">
        <x:f>IF(G$7='Assumptions'!$E$19,'Assumptions'!$E$17,0)+IF(G$7='Assumptions'!$E$22,'Assumptions'!$E$20,0)</x:f>
        <x:v>35</x:v>
      </x:c>
      <x:c r="H12" s="25" t="n">
        <x:f>IF(H$7='Assumptions'!$E$19,'Assumptions'!$E$17,0)+IF(H$7='Assumptions'!$E$22,'Assumptions'!$E$20,0)</x:f>
        <x:v>0</x:v>
      </x:c>
      <x:c r="I12" s="25" t="n">
        <x:f>IF(I$7='Assumptions'!$E$19,'Assumptions'!$E$17,0)+IF(I$7='Assumptions'!$E$22,'Assumptions'!$E$20,0)</x:f>
        <x:v>45</x:v>
      </x:c>
      <x:c r="J12" s="2"/>
      <x:c r="K12" s="2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1" t="str">
        <x:v>Minimum cash requirement</x:v>
      </x:c>
      <x:c r="D13" s="1"/>
      <x:c r="E13" s="25" t="n">
        <x:f>'Assumptions'!$E$12</x:f>
        <x:v>3</x:v>
      </x:c>
      <x:c r="F13" s="25" t="n">
        <x:f>'Assumptions'!$E$12</x:f>
        <x:v>3</x:v>
      </x:c>
      <x:c r="G13" s="25" t="n">
        <x:f>'Assumptions'!$E$12</x:f>
        <x:v>3</x:v>
      </x:c>
      <x:c r="H13" s="25" t="n">
        <x:f>'Assumptions'!$E$12</x:f>
        <x:v>3</x:v>
      </x:c>
      <x:c r="I13" s="25" t="n">
        <x:f>'Assumptions'!$E$12</x:f>
        <x:v>3</x:v>
      </x:c>
      <x:c r="J13" s="2"/>
      <x:c r="K13" s="2"/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30" t="str">
        <x:v>Unfunded ending cash budget</x:v>
      </x:c>
      <x:c r="D14" s="30"/>
      <x:c r="E14" s="32" t="n">
        <x:f>E8+E11-E12</x:f>
        <x:v>3.285000000000001</x:v>
      </x:c>
      <x:c r="F14" s="32" t="n">
        <x:f>F8+F11-F12</x:f>
        <x:v>3.4422999999999995</x:v>
      </x:c>
      <x:c r="G14" s="32" t="n">
        <x:f>G8+G11-G12</x:f>
        <x:v>-30.311072</x:v>
      </x:c>
      <x:c r="H14" s="32" t="n">
        <x:f>H8+H11-H12</x:f>
        <x:v>-24.67013808</x:v>
      </x:c>
      <x:c r="I14" s="32" t="n">
        <x:f>I8+I11-I12</x:f>
        <x:v>-63.728689712</x:v>
      </x:c>
      <x:c r="J14" s="2"/>
      <x:c r="K14" s="2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30" t="str">
        <x:v>Cumulative external funding gap</x:v>
      </x:c>
      <x:c r="D15" s="30"/>
      <x:c r="E15" s="32" t="n">
        <x:f>MAX(0,E13-E14)</x:f>
        <x:v>0</x:v>
      </x:c>
      <x:c r="F15" s="32" t="n">
        <x:f>MAX(0,F13-F14)</x:f>
        <x:v>0</x:v>
      </x:c>
      <x:c r="G15" s="32" t="n">
        <x:f>MAX(0,G13-G14)</x:f>
        <x:v>33.311071999999996</x:v>
      </x:c>
      <x:c r="H15" s="32" t="n">
        <x:f>MAX(0,H13-H14)</x:f>
        <x:v>27.67013808</x:v>
      </x:c>
      <x:c r="I15" s="32" t="n">
        <x:f>MAX(0,I13-I14)</x:f>
        <x:v>66.728689712</x:v>
      </x:c>
      <x:c r="J15" s="2"/>
      <x:c r="K15" s="2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/>
      <x:c r="D16" s="1"/>
      <x:c r="E16" s="2"/>
      <x:c r="F16" s="2"/>
      <x:c r="G16" s="2"/>
      <x:c r="H16" s="2"/>
      <x:c r="I16" s="2"/>
      <x:c r="J16" s="2"/>
      <x:c r="K16" s="2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/>
      <x:c r="D17" s="1"/>
      <x:c r="E17" s="2"/>
      <x:c r="F17" s="2"/>
      <x:c r="G17" s="2"/>
      <x:c r="H17" s="2"/>
      <x:c r="I17" s="2"/>
      <x:c r="J17" s="2"/>
      <x:c r="K17" s="2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 t="str">
        <x:v>Negative cash is a financing requirement, not an automatic debt draw.</x:v>
      </x:c>
      <x:c r="D18" s="1"/>
      <x:c r="E18" s="2"/>
      <x:c r="F18" s="2"/>
      <x:c r="G18" s="2"/>
      <x:c r="H18" s="2"/>
      <x:c r="I18" s="2"/>
      <x:c r="J18" s="2"/>
      <x:c r="K18" s="2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 t="str">
        <x:v>Annual scheduled-payment budget; excludes interest on new funding and intrayear timing.</x:v>
      </x:c>
      <x:c r="D19" s="1"/>
      <x:c r="E19" s="2"/>
      <x:c r="F19" s="2"/>
      <x:c r="G19" s="2"/>
      <x:c r="H19" s="2"/>
      <x:c r="I19" s="2"/>
      <x:c r="J19" s="2"/>
      <x:c r="K19" s="2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/>
      <x:c r="D20" s="1"/>
      <x:c r="E20" s="2"/>
      <x:c r="F20" s="2"/>
      <x:c r="G20" s="2"/>
      <x:c r="H20" s="2"/>
      <x:c r="I20" s="2"/>
      <x:c r="J20" s="2"/>
      <x:c r="K20" s="2"/>
      <x:c r="L20" s="1"/>
      <x:c r="M20" s="1"/>
      <x:c r="N20" s="1"/>
      <x:c r="O20" s="1"/>
      <x:c r="P20" s="1"/>
      <x:c r="Q20" s="1"/>
    </x:row>
    <x:row r="21" ht="24" customHeight="1">
      <x:c r="A21" s="1"/>
      <x:c r="B21" s="1"/>
      <x:c r="C21" s="10" t="str">
        <x:v>Illustrative recovery waterfall - GBP million</x:v>
      </x:c>
      <x:c r="D21" s="10"/>
      <x:c r="E21" s="35"/>
      <x:c r="F21" s="35"/>
      <x:c r="G21" s="35"/>
      <x:c r="H21" s="35"/>
      <x:c r="I21" s="35"/>
      <x:c r="J21" s="2"/>
      <x:c r="K21" s="2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1" t="str">
        <x:v>Enterprise value from DCF</x:v>
      </x:c>
      <x:c r="D22" s="1"/>
      <x:c r="E22" s="25" t="n">
        <x:f>'DCF'!E22</x:f>
        <x:v>76.90062894700303</x:v>
      </x:c>
      <x:c r="F22" s="2"/>
      <x:c r="G22" s="2"/>
      <x:c r="H22" s="2"/>
      <x:c r="I22" s="2"/>
      <x:c r="J22" s="2"/>
      <x:c r="K22" s="2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 t="str">
        <x:v>Opening cash</x:v>
      </x:c>
      <x:c r="D23" s="1"/>
      <x:c r="E23" s="25" t="n">
        <x:f>'Assumptions'!E11</x:f>
        <x:v>4</x:v>
      </x:c>
      <x:c r="F23" s="2"/>
      <x:c r="G23" s="2"/>
      <x:c r="H23" s="2"/>
      <x:c r="I23" s="2"/>
      <x:c r="J23" s="2"/>
      <x:c r="K23" s="2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 t="str">
        <x:v>Cash retained in business</x:v>
      </x:c>
      <x:c r="D24" s="1"/>
      <x:c r="E24" s="25" t="n">
        <x:f>'Assumptions'!E12</x:f>
        <x:v>3</x:v>
      </x:c>
      <x:c r="F24" s="2"/>
      <x:c r="G24" s="2"/>
      <x:c r="H24" s="2"/>
      <x:c r="I24" s="2"/>
      <x:c r="J24" s="2"/>
      <x:c r="K24" s="2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 t="str">
        <x:v>Implementation cost</x:v>
      </x:c>
      <x:c r="D25" s="1"/>
      <x:c r="E25" s="25" t="n">
        <x:f>'Assumptions'!E23</x:f>
        <x:v>3</x:v>
      </x:c>
      <x:c r="F25" s="2"/>
      <x:c r="G25" s="2"/>
      <x:c r="H25" s="2"/>
      <x:c r="I25" s="2"/>
      <x:c r="J25" s="2"/>
      <x:c r="K25" s="2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30" t="str">
        <x:v>Distributable reference value</x:v>
      </x:c>
      <x:c r="D26" s="30"/>
      <x:c r="E26" s="32" t="n">
        <x:f>MAX(0,E22+E23-E24-E25)</x:f>
        <x:v>74.90062894700303</x:v>
      </x:c>
      <x:c r="F26" s="32"/>
      <x:c r="G26" s="32"/>
      <x:c r="H26" s="32"/>
      <x:c r="I26" s="32"/>
      <x:c r="J26" s="2"/>
      <x:c r="K26" s="2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"/>
      <x:c r="D27" s="1"/>
      <x:c r="E27" s="2"/>
      <x:c r="F27" s="2"/>
      <x:c r="G27" s="2"/>
      <x:c r="H27" s="2"/>
      <x:c r="I27" s="2"/>
      <x:c r="J27" s="2"/>
      <x:c r="K27" s="2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/>
      <x:c r="D28" s="1"/>
      <x:c r="E28" s="2"/>
      <x:c r="F28" s="2"/>
      <x:c r="G28" s="2"/>
      <x:c r="H28" s="2"/>
      <x:c r="I28" s="2"/>
      <x:c r="J28" s="2"/>
      <x:c r="K28" s="2"/>
      <x:c r="L28" s="1"/>
      <x:c r="M28" s="1"/>
      <x:c r="N28" s="1"/>
      <x:c r="O28" s="1"/>
      <x:c r="P28" s="1"/>
      <x:c r="Q28" s="1"/>
    </x:row>
    <x:row r="29" ht="21" customHeight="1">
      <x:c r="A29" s="1"/>
      <x:c r="B29" s="1"/>
      <x:c r="C29" s="1"/>
      <x:c r="D29" s="1"/>
      <x:c r="E29" s="2" t="str">
        <x:v>Face claim</x:v>
      </x:c>
      <x:c r="F29" s="2" t="str">
        <x:v>Reference recovery</x:v>
      </x:c>
      <x:c r="G29" s="2" t="str">
        <x:v>Recovery %</x:v>
      </x:c>
      <x:c r="H29" s="2"/>
      <x:c r="I29" s="2"/>
      <x:c r="J29" s="2"/>
      <x:c r="K29" s="2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 t="str">
        <x:v>Senior secured</x:v>
      </x:c>
      <x:c r="D30" s="1"/>
      <x:c r="E30" s="25" t="n">
        <x:f>'Assumptions'!E17</x:f>
        <x:v>45</x:v>
      </x:c>
      <x:c r="F30" s="2" t="n">
        <x:f>MIN($E$26,E30)</x:f>
        <x:v>45</x:v>
      </x:c>
      <x:c r="G30" s="22" t="n">
        <x:f>IF(E30=0,"n.a.",F30/E30)</x:f>
        <x:v>1</x:v>
      </x:c>
      <x:c r="H30" s="2"/>
      <x:c r="I30" s="2"/>
      <x:c r="J30" s="2"/>
      <x:c r="K30" s="2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 t="str">
        <x:v>Unsecured notes</x:v>
      </x:c>
      <x:c r="D31" s="1"/>
      <x:c r="E31" s="25" t="n">
        <x:f>'Assumptions'!E20</x:f>
        <x:v>35</x:v>
      </x:c>
      <x:c r="F31" s="2" t="n">
        <x:f>MIN(MAX(0,$E$26-F30),E31)</x:f>
        <x:v>29.900628947003028</x:v>
      </x:c>
      <x:c r="G31" s="22" t="n">
        <x:f>IF(E31=0,"n.a.",F31/E31)</x:f>
        <x:v>0.8543036842000865</x:v>
      </x:c>
      <x:c r="H31" s="2"/>
      <x:c r="I31" s="2"/>
      <x:c r="J31" s="2"/>
      <x:c r="K31" s="2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 t="str">
        <x:v>Legacy shareholders</x:v>
      </x:c>
      <x:c r="D32" s="1"/>
      <x:c r="E32" s="2"/>
      <x:c r="F32" s="2" t="n">
        <x:f>MAX(0,$E$26-SUM(F30:F31))</x:f>
        <x:v>0</x:v>
      </x:c>
      <x:c r="G32" s="2"/>
      <x:c r="H32" s="2"/>
      <x:c r="I32" s="2"/>
      <x:c r="J32" s="2"/>
      <x:c r="K32" s="2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30" t="str">
        <x:v>Value distribution difference</x:v>
      </x:c>
      <x:c r="D33" s="30"/>
      <x:c r="E33" s="41" t="n">
        <x:f>E26-SUM(F30:F32)</x:f>
        <x:v>0</x:v>
      </x:c>
      <x:c r="F33" s="32"/>
      <x:c r="G33" s="32"/>
      <x:c r="H33" s="32"/>
      <x:c r="I33" s="32"/>
      <x:c r="J33" s="2"/>
      <x:c r="K33" s="2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/>
      <x:c r="D34" s="1"/>
      <x:c r="E34" s="2"/>
      <x:c r="F34" s="2"/>
      <x:c r="G34" s="2"/>
      <x:c r="H34" s="2"/>
      <x:c r="I34" s="2"/>
      <x:c r="J34" s="2"/>
      <x:c r="K34" s="2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/>
      <x:c r="D35" s="1"/>
      <x:c r="E35" s="2"/>
      <x:c r="F35" s="2"/>
      <x:c r="G35" s="2"/>
      <x:c r="H35" s="2"/>
      <x:c r="I35" s="2"/>
      <x:c r="J35" s="2"/>
      <x:c r="K35" s="2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/>
      <x:c r="D36" s="1"/>
      <x:c r="E36" s="2"/>
      <x:c r="F36" s="2"/>
      <x:c r="G36" s="2"/>
      <x:c r="H36" s="2"/>
      <x:c r="I36" s="2"/>
      <x:c r="J36" s="2"/>
      <x:c r="K36" s="2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 t="str">
        <x:v>Assumed new senior debt at par</x:v>
      </x:c>
      <x:c r="D37" s="1"/>
      <x:c r="E37" s="25" t="n">
        <x:f>MIN(F30,MAX('Operations'!E11,0)*'Assumptions'!E24)</x:f>
        <x:v>40.17</x:v>
      </x:c>
      <x:c r="F37" s="2"/>
      <x:c r="G37" s="2"/>
      <x:c r="H37" s="2"/>
      <x:c r="I37" s="2"/>
      <x:c r="J37" s="2"/>
      <x:c r="K37" s="2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30" t="str">
        <x:v>New equity reference value</x:v>
      </x:c>
      <x:c r="D38" s="30"/>
      <x:c r="E38" s="32" t="n">
        <x:f>E26-E37</x:f>
        <x:v>34.73062894700303</x:v>
      </x:c>
      <x:c r="F38" s="32"/>
      <x:c r="G38" s="32"/>
      <x:c r="H38" s="32"/>
      <x:c r="I38" s="32"/>
      <x:c r="J38" s="2"/>
      <x:c r="K38" s="2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/>
      <x:c r="D39" s="1"/>
      <x:c r="E39" s="2"/>
      <x:c r="F39" s="2"/>
      <x:c r="G39" s="2"/>
      <x:c r="H39" s="2"/>
      <x:c r="I39" s="2"/>
      <x:c r="J39" s="2"/>
      <x:c r="K39" s="2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2" t="str">
        <x:v>Stock value</x:v>
      </x:c>
      <x:c r="F40" s="2" t="str">
        <x:v>Ownership %</x:v>
      </x:c>
      <x:c r="G40" s="2"/>
      <x:c r="H40" s="2"/>
      <x:c r="I40" s="2"/>
      <x:c r="J40" s="2"/>
      <x:c r="K40" s="2"/>
      <x:c r="L40" s="1"/>
      <x:c r="M40" s="1"/>
      <x:c r="N40" s="1"/>
      <x:c r="O40" s="1"/>
      <x:c r="P40" s="1"/>
      <x:c r="Q40" s="1"/>
    </x:row>
    <x:row r="41" ht="21" customHeight="1">
      <x:c r="A41" s="1"/>
      <x:c r="B41" s="1"/>
      <x:c r="C41" s="1" t="str">
        <x:v>Senior secured stock allocation</x:v>
      </x:c>
      <x:c r="D41" s="1"/>
      <x:c r="E41" s="2" t="n">
        <x:f>F30-E37</x:f>
        <x:v>4.829999999999998</x:v>
      </x:c>
      <x:c r="F41" s="22" t="n">
        <x:f>IF($E$38=0,"n.a.",E41/$E$38)</x:f>
        <x:v>0.1390703291717033</x:v>
      </x:c>
      <x:c r="G41" s="2"/>
      <x:c r="H41" s="2"/>
      <x:c r="I41" s="2"/>
      <x:c r="J41" s="2"/>
      <x:c r="K41" s="2"/>
      <x:c r="L41" s="1"/>
      <x:c r="M41" s="1"/>
      <x:c r="N41" s="1"/>
      <x:c r="O41" s="1"/>
      <x:c r="P41" s="1"/>
      <x:c r="Q41" s="1"/>
    </x:row>
    <x:row r="42" ht="21" customHeight="1">
      <x:c r="A42" s="1"/>
      <x:c r="B42" s="1"/>
      <x:c r="C42" s="1" t="str">
        <x:v>Unsecured stock allocation</x:v>
      </x:c>
      <x:c r="D42" s="1"/>
      <x:c r="E42" s="2" t="n">
        <x:f>F31</x:f>
        <x:v>29.900628947003028</x:v>
      </x:c>
      <x:c r="F42" s="22" t="n">
        <x:f>IF($E$38=0,"n.a.",E42/$E$38)</x:f>
        <x:v>0.8609296708282967</x:v>
      </x:c>
      <x:c r="G42" s="2"/>
      <x:c r="H42" s="2"/>
      <x:c r="I42" s="2"/>
      <x:c r="J42" s="2"/>
      <x:c r="K42" s="2"/>
      <x:c r="L42" s="1"/>
      <x:c r="M42" s="1"/>
      <x:c r="N42" s="1"/>
      <x:c r="O42" s="1"/>
      <x:c r="P42" s="1"/>
      <x:c r="Q42" s="1"/>
    </x:row>
    <x:row r="43" ht="21" customHeight="1">
      <x:c r="A43" s="1"/>
      <x:c r="B43" s="1"/>
      <x:c r="C43" s="1" t="str">
        <x:v>Legacy shareholder stock allocation</x:v>
      </x:c>
      <x:c r="D43" s="1"/>
      <x:c r="E43" s="2" t="n">
        <x:f>F32</x:f>
        <x:v>0</x:v>
      </x:c>
      <x:c r="F43" s="22" t="n">
        <x:f>IF($E$38=0,"n.a.",E43/$E$38)</x:f>
        <x:v>0</x:v>
      </x:c>
      <x:c r="G43" s="2"/>
      <x:c r="H43" s="2"/>
      <x:c r="I43" s="2"/>
      <x:c r="J43" s="2"/>
      <x:c r="K43" s="2"/>
      <x:c r="L43" s="1"/>
      <x:c r="M43" s="1"/>
      <x:c r="N43" s="1"/>
      <x:c r="O43" s="1"/>
      <x:c r="P43" s="1"/>
      <x:c r="Q43" s="1"/>
    </x:row>
    <x:row r="44" ht="21" customHeight="1">
      <x:c r="A44" s="1"/>
      <x:c r="B44" s="1"/>
      <x:c r="C44" s="30" t="str">
        <x:v>Total equity allocations</x:v>
      </x:c>
      <x:c r="D44" s="30"/>
      <x:c r="E44" s="32" t="n">
        <x:f>SUM(E41:E43)</x:f>
        <x:v>34.73062894700303</x:v>
      </x:c>
      <x:c r="F44" s="32"/>
      <x:c r="G44" s="32"/>
      <x:c r="H44" s="32"/>
      <x:c r="I44" s="32"/>
      <x:c r="J44" s="2"/>
      <x:c r="K44" s="2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30" t="str">
        <x:v>Equity allocation difference</x:v>
      </x:c>
      <x:c r="D45" s="30"/>
      <x:c r="E45" s="41" t="n">
        <x:f>E38-E44</x:f>
        <x:v>0</x:v>
      </x:c>
      <x:c r="F45" s="32"/>
      <x:c r="G45" s="32"/>
      <x:c r="H45" s="32"/>
      <x:c r="I45" s="32"/>
      <x:c r="J45" s="2"/>
      <x:c r="K45" s="2"/>
      <x:c r="L45" s="1"/>
      <x:c r="M45" s="1"/>
      <x:c r="N45" s="1"/>
      <x:c r="O45" s="1"/>
      <x:c r="P45" s="1"/>
      <x:c r="Q45" s="1"/>
    </x:row>
    <x:row r="46" ht="21" customHeight="1">
      <x:c r="A46" s="1"/>
      <x:c r="B46" s="1"/>
      <x:c r="C46" s="1" t="str">
        <x:v>New debt / first forecast EBITDA</x:v>
      </x:c>
      <x:c r="D46" s="1"/>
      <x:c r="E46" s="47" t="n">
        <x:f>IF('Operations'!E11&lt;=0,"n.a.",E37/'Operations'!E11)</x:f>
        <x:v>3</x:v>
      </x:c>
      <x:c r="F46" s="2"/>
      <x:c r="G46" s="2"/>
      <x:c r="H46" s="2"/>
      <x:c r="I46" s="2"/>
      <x:c r="J46" s="2"/>
      <x:c r="K46" s="2"/>
      <x:c r="L46" s="1"/>
      <x:c r="M46" s="1"/>
      <x:c r="N46" s="1"/>
      <x:c r="O46" s="1"/>
      <x:c r="P46" s="1"/>
      <x:c r="Q46" s="1"/>
    </x:row>
    <x:row r="47" ht="21" customHeight="1">
      <x:c r="A47" s="1"/>
      <x:c r="B47" s="1"/>
      <x:c r="C47" s="1" t="str">
        <x:v>First forecast EBITDA / new interest</x:v>
      </x:c>
      <x:c r="D47" s="1"/>
      <x:c r="E47" s="47" t="n">
        <x:f>IF(E37=0,"n.a.",'Operations'!E11/(E37*'Assumptions'!E25))</x:f>
        <x:v>4.166666666666667</x:v>
      </x:c>
      <x:c r="F47" s="2"/>
      <x:c r="G47" s="2"/>
      <x:c r="H47" s="2"/>
      <x:c r="I47" s="2"/>
      <x:c r="J47" s="2"/>
      <x:c r="K47" s="2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2"/>
      <x:c r="F48" s="2"/>
      <x:c r="G48" s="2"/>
      <x:c r="H48" s="2"/>
      <x:c r="I48" s="2"/>
      <x:c r="J48" s="2"/>
      <x:c r="K48" s="2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2"/>
      <x:c r="F49" s="2"/>
      <x:c r="G49" s="2"/>
      <x:c r="H49" s="2"/>
      <x:c r="I49" s="2"/>
      <x:c r="J49" s="2"/>
      <x:c r="K49" s="2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 t="str">
        <x:v>Assumed ranking, one issuer and one asset pool; not an insolvency-law conclusion.</x:v>
      </x:c>
      <x:c r="D50" s="1"/>
      <x:c r="E50" s="2"/>
      <x:c r="F50" s="2"/>
      <x:c r="G50" s="2"/>
      <x:c r="H50" s="2"/>
      <x:c r="I50" s="2"/>
      <x:c r="J50" s="2"/>
      <x:c r="K50" s="2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 t="str">
        <x:v>Conversion values assume new debt at par; no claim that the debt could trade at par.</x:v>
      </x:c>
      <x:c r="D51" s="1"/>
      <x:c r="E51" s="2"/>
      <x:c r="F51" s="2"/>
      <x:c r="G51" s="2"/>
      <x:c r="H51" s="2"/>
      <x:c r="I51" s="2"/>
      <x:c r="J51" s="2"/>
      <x:c r="K51" s="2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 t="str">
        <x:v>No cash creditor distributions are assumed in the debt-for-equity illustration.</x:v>
      </x:c>
      <x:c r="D52" s="1"/>
      <x:c r="E52" s="2"/>
      <x:c r="F52" s="2"/>
      <x:c r="G52" s="2"/>
      <x:c r="H52" s="2"/>
      <x:c r="I52" s="2"/>
      <x:c r="J52" s="2"/>
      <x:c r="K52" s="2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2"/>
      <x:c r="F53" s="2"/>
      <x:c r="G53" s="2"/>
      <x:c r="H53" s="2"/>
      <x:c r="I53" s="2"/>
      <x:c r="J53" s="2"/>
      <x:c r="K53" s="2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2"/>
      <x:c r="F54" s="2"/>
      <x:c r="G54" s="2"/>
      <x:c r="H54" s="2"/>
      <x:c r="I54" s="2"/>
      <x:c r="J54" s="2"/>
      <x:c r="K54" s="2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2"/>
      <x:c r="F55" s="2"/>
      <x:c r="G55" s="2"/>
      <x:c r="H55" s="2"/>
      <x:c r="I55" s="2"/>
      <x:c r="J55" s="2"/>
      <x:c r="K55" s="2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2"/>
      <x:c r="F56" s="2"/>
      <x:c r="G56" s="2"/>
      <x:c r="H56" s="2"/>
      <x:c r="I56" s="2"/>
      <x:c r="J56" s="2"/>
      <x:c r="K56" s="2"/>
      <x:c r="L56" s="1"/>
      <x:c r="M56" s="1"/>
      <x:c r="N56" s="1"/>
      <x:c r="O56" s="1"/>
      <x:c r="P56" s="1"/>
      <x:c r="Q56" s="1"/>
    </x:row>
    <x:row r="57" ht="21" customHeight="1">
      <x:c r="A57" s="1"/>
      <x:c r="B57" s="1"/>
      <x:c r="C57" s="1"/>
      <x:c r="D57" s="1"/>
      <x:c r="E57" s="2"/>
      <x:c r="F57" s="2"/>
      <x:c r="G57" s="2"/>
      <x:c r="H57" s="2"/>
      <x:c r="I57" s="2"/>
      <x:c r="J57" s="2"/>
      <x:c r="K57" s="2"/>
      <x:c r="L57" s="1"/>
      <x:c r="M57" s="1"/>
      <x:c r="N57" s="1"/>
      <x:c r="O57" s="1"/>
      <x:c r="P57" s="1"/>
      <x:c r="Q57" s="1"/>
    </x:row>
    <x:row r="58" ht="21" customHeight="1">
      <x:c r="A58" s="1"/>
      <x:c r="B58" s="1"/>
      <x:c r="C58" s="1"/>
      <x:c r="D58" s="1"/>
      <x:c r="E58" s="2"/>
      <x:c r="F58" s="2"/>
      <x:c r="G58" s="2"/>
      <x:c r="H58" s="2"/>
      <x:c r="I58" s="2"/>
      <x:c r="J58" s="2"/>
      <x:c r="K58" s="2"/>
      <x:c r="L58" s="1"/>
      <x:c r="M58" s="1"/>
      <x:c r="N58" s="1"/>
      <x:c r="O58" s="1"/>
      <x:c r="P58" s="1"/>
      <x:c r="Q58" s="1"/>
    </x:row>
    <x:row r="59" ht="21" customHeight="1">
      <x:c r="A59" s="1"/>
      <x:c r="B59" s="1"/>
      <x:c r="C59" s="1"/>
      <x:c r="D59" s="1"/>
      <x:c r="E59" s="2"/>
      <x:c r="F59" s="2"/>
      <x:c r="G59" s="2"/>
      <x:c r="H59" s="2"/>
      <x:c r="I59" s="2"/>
      <x:c r="J59" s="2"/>
      <x:c r="K59" s="2"/>
      <x:c r="L59" s="1"/>
      <x:c r="M59" s="1"/>
      <x:c r="N59" s="1"/>
      <x:c r="O59" s="1"/>
      <x:c r="P59" s="1"/>
      <x:c r="Q59" s="1"/>
    </x:row>
    <x:row r="60" ht="21" customHeight="1">
      <x:c r="A60" s="1"/>
      <x:c r="B60" s="1"/>
      <x:c r="C60" s="1"/>
      <x:c r="D60" s="1"/>
      <x:c r="E60" s="2"/>
      <x:c r="F60" s="2"/>
      <x:c r="G60" s="2"/>
      <x:c r="H60" s="2"/>
      <x:c r="I60" s="2"/>
      <x:c r="J60" s="2"/>
      <x:c r="K60" s="2"/>
      <x:c r="L60" s="1"/>
      <x:c r="M60" s="1"/>
      <x:c r="N60" s="1"/>
      <x:c r="O60" s="1"/>
      <x:c r="P60" s="1"/>
      <x:c r="Q60" s="1"/>
    </x:row>
    <x:row r="61" ht="21" customHeight="1">
      <x:c r="A61" s="1"/>
      <x:c r="B61" s="1"/>
      <x:c r="C61" s="1"/>
      <x:c r="D61" s="1"/>
      <x:c r="E61" s="2"/>
      <x:c r="F61" s="2"/>
      <x:c r="G61" s="2"/>
      <x:c r="H61" s="2"/>
      <x:c r="I61" s="2"/>
      <x:c r="J61" s="2"/>
      <x:c r="K61" s="2"/>
      <x:c r="L61" s="1"/>
      <x:c r="M61" s="1"/>
      <x:c r="N61" s="1"/>
      <x:c r="O61" s="1"/>
      <x:c r="P61" s="1"/>
      <x:c r="Q61" s="1"/>
    </x:row>
    <x:row r="62" ht="21" customHeight="1">
      <x:c r="A62" s="1"/>
      <x:c r="B62" s="1"/>
      <x:c r="C62" s="1"/>
      <x:c r="D62" s="1"/>
      <x:c r="E62" s="2"/>
      <x:c r="F62" s="2"/>
      <x:c r="G62" s="2"/>
      <x:c r="H62" s="2"/>
      <x:c r="I62" s="2"/>
      <x:c r="J62" s="2"/>
      <x:c r="K62" s="2"/>
      <x:c r="L62" s="1"/>
      <x:c r="M62" s="1"/>
      <x:c r="N62" s="1"/>
      <x:c r="O62" s="1"/>
      <x:c r="P62" s="1"/>
      <x:c r="Q62" s="1"/>
    </x:row>
    <x:row r="63" ht="21" customHeight="1">
      <x:c r="A63" s="1"/>
      <x:c r="B63" s="1"/>
      <x:c r="C63" s="1"/>
      <x:c r="D63" s="1"/>
      <x:c r="E63" s="2"/>
      <x:c r="F63" s="2"/>
      <x:c r="G63" s="2"/>
      <x:c r="H63" s="2"/>
      <x:c r="I63" s="2"/>
      <x:c r="J63" s="2"/>
      <x:c r="K63" s="2"/>
      <x:c r="L63" s="1"/>
      <x:c r="M63" s="1"/>
      <x:c r="N63" s="1"/>
      <x:c r="O63" s="1"/>
      <x:c r="P63" s="1"/>
      <x:c r="Q63" s="1"/>
    </x:row>
    <x:row r="64" ht="21" customHeight="1">
      <x:c r="A64" s="1"/>
      <x:c r="B64" s="1"/>
      <x:c r="C64" s="1"/>
      <x:c r="D64" s="1"/>
      <x:c r="E64" s="2"/>
      <x:c r="F64" s="2"/>
      <x:c r="G64" s="2"/>
      <x:c r="H64" s="2"/>
      <x:c r="I64" s="2"/>
      <x:c r="J64" s="2"/>
      <x:c r="K64" s="2"/>
      <x:c r="L64" s="1"/>
      <x:c r="M64" s="1"/>
      <x:c r="N64" s="1"/>
      <x:c r="O64" s="1"/>
      <x:c r="P64" s="1"/>
      <x:c r="Q64" s="1"/>
    </x:row>
    <x:row r="65" ht="21" customHeight="1">
      <x:c r="A65" s="1"/>
      <x:c r="B65" s="1"/>
      <x:c r="C65" s="1"/>
      <x:c r="D65" s="1"/>
      <x:c r="E65" s="2"/>
      <x:c r="F65" s="2"/>
      <x:c r="G65" s="2"/>
      <x:c r="H65" s="2"/>
      <x:c r="I65" s="2"/>
      <x:c r="J65" s="2"/>
      <x:c r="K65" s="2"/>
      <x:c r="L65" s="1"/>
      <x:c r="M65" s="1"/>
      <x:c r="N65" s="1"/>
      <x:c r="O65" s="1"/>
      <x:c r="P65" s="1"/>
      <x:c r="Q65" s="1"/>
    </x:row>
  </x:sheetData>
  <x:conditionalFormatting sqref="E33:E33">
    <x:cfRule type="expression" dxfId="1" priority="1">
      <x:formula>ABS(E33)&gt;0.000001</x:formula>
    </x:cfRule>
  </x:conditionalFormatting>
  <x:conditionalFormatting sqref="E45:E45">
    <x:cfRule type="expression" dxfId="2" priority="2">
      <x:formula>ABS(E45)&gt;0.000001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7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/>
      <x:c r="B2" s="1"/>
      <x:c r="C2" s="5" t="str">
        <x:v>Operating forecast - GBP million</x:v>
      </x:c>
      <x:c r="D2" s="5"/>
      <x:c r="E2" s="5"/>
      <x:c r="F2" s="5"/>
      <x:c r="G2" s="5"/>
      <x:c r="H2" s="5"/>
      <x:c r="I2" s="5"/>
      <x:c r="J2" s="5"/>
      <x:c r="K2" s="5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 t="str">
        <x:v>Case selected:</x:v>
      </x:c>
      <x:c r="D3" s="1"/>
      <x:c r="E3" s="4" t="str">
        <x:f>'Assumptions'!G3</x:f>
        <x:v>Base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1"/>
      <x:c r="B7" s="1"/>
      <x:c r="C7" s="1"/>
      <x:c r="D7" s="17" t="n">
        <x:v>2025</x:v>
      </x:c>
      <x:c r="E7" s="20" t="n">
        <x:v>2026</x:v>
      </x:c>
      <x:c r="F7" s="20" t="n">
        <x:v>2027</x:v>
      </x:c>
      <x:c r="G7" s="20" t="n">
        <x:v>2028</x:v>
      </x:c>
      <x:c r="H7" s="20" t="n">
        <x:v>2029</x:v>
      </x:c>
      <x:c r="I7" s="20" t="n">
        <x:v>2030</x:v>
      </x:c>
      <x:c r="J7" s="2"/>
      <x:c r="K7" s="2"/>
      <x:c r="L7" s="1"/>
      <x:c r="M7" s="1"/>
      <x:c r="N7" s="1"/>
      <x:c r="O7" s="1"/>
      <x:c r="P7" s="1"/>
      <x:c r="Q7" s="1"/>
    </x:row>
    <x:row r="8" ht="21" customHeight="1">
      <x:c r="A8" s="1"/>
      <x:c r="B8" s="1"/>
      <x:c r="C8" s="1" t="str">
        <x:v>Revenue</x:v>
      </x:c>
      <x:c r="D8" s="3" t="n">
        <x:f>'Assumptions'!E8</x:f>
        <x:v>100</x:v>
      </x:c>
      <x:c r="E8" s="2" t="n">
        <x:f>D8*(1+E9)</x:f>
        <x:v>103</x:v>
      </x:c>
      <x:c r="F8" s="2" t="n">
        <x:f>E8*(1+F9)</x:f>
        <x:v>107.12</x:v>
      </x:c>
      <x:c r="G8" s="2" t="n">
        <x:f>F8*(1+G9)</x:f>
        <x:v>111.40480000000001</x:v>
      </x:c>
      <x:c r="H8" s="2" t="n">
        <x:f>G8*(1+H9)</x:f>
        <x:v>114.74694400000001</x:v>
      </x:c>
      <x:c r="I8" s="2" t="n">
        <x:f>H8*(1+I9)</x:f>
        <x:v>117.61561760000001</x:v>
      </x:c>
      <x:c r="J8" s="2"/>
      <x:c r="K8" s="2"/>
      <x:c r="L8" s="1"/>
      <x:c r="M8" s="1"/>
      <x:c r="N8" s="1"/>
      <x:c r="O8" s="1"/>
      <x:c r="P8" s="1"/>
      <x:c r="Q8" s="1"/>
    </x:row>
    <x:row r="9" ht="21" customHeight="1">
      <x:c r="A9" s="1"/>
      <x:c r="B9" s="1"/>
      <x:c r="C9" s="1" t="str">
        <x:v>Revenue growth</x:v>
      </x:c>
      <x:c r="D9" s="1"/>
      <x:c r="E9" s="27" t="n">
        <x:f>'Assumptions'!E34</x:f>
        <x:v>0.03</x:v>
      </x:c>
      <x:c r="F9" s="27" t="n">
        <x:f>'Assumptions'!F34</x:f>
        <x:v>0.04</x:v>
      </x:c>
      <x:c r="G9" s="27" t="n">
        <x:f>'Assumptions'!G34</x:f>
        <x:v>0.04</x:v>
      </x:c>
      <x:c r="H9" s="27" t="n">
        <x:f>'Assumptions'!H34</x:f>
        <x:v>0.03</x:v>
      </x:c>
      <x:c r="I9" s="27" t="n">
        <x:f>'Assumptions'!I34</x:f>
        <x:v>0.025</x:v>
      </x:c>
      <x:c r="J9" s="2"/>
      <x:c r="K9" s="2"/>
      <x:c r="L9" s="1"/>
      <x:c r="M9" s="1"/>
      <x:c r="N9" s="1"/>
      <x:c r="O9" s="1"/>
      <x:c r="P9" s="1"/>
      <x:c r="Q9" s="1"/>
    </x:row>
    <x:row r="10" ht="21" customHeight="1">
      <x:c r="A10" s="1"/>
      <x:c r="B10" s="1"/>
      <x:c r="C10" s="1" t="str">
        <x:v>EBITDA margin</x:v>
      </x:c>
      <x:c r="D10" s="22" t="n">
        <x:f>D11/D8</x:f>
        <x:v>0.16</x:v>
      </x:c>
      <x:c r="E10" s="27" t="n">
        <x:f>'Assumptions'!E38</x:f>
        <x:v>0.13</x:v>
      </x:c>
      <x:c r="F10" s="27" t="n">
        <x:f>'Assumptions'!F38</x:f>
        <x:v>0.14</x:v>
      </x:c>
      <x:c r="G10" s="27" t="n">
        <x:f>'Assumptions'!G38</x:f>
        <x:v>0.15</x:v>
      </x:c>
      <x:c r="H10" s="27" t="n">
        <x:f>'Assumptions'!H38</x:f>
        <x:v>0.16</x:v>
      </x:c>
      <x:c r="I10" s="27" t="n">
        <x:f>'Assumptions'!I38</x:f>
        <x:v>0.16</x:v>
      </x:c>
      <x:c r="J10" s="2"/>
      <x:c r="K10" s="2"/>
      <x:c r="L10" s="1"/>
      <x:c r="M10" s="1"/>
      <x:c r="N10" s="1"/>
      <x:c r="O10" s="1"/>
      <x:c r="P10" s="1"/>
      <x:c r="Q10" s="1"/>
    </x:row>
    <x:row r="11" ht="21" customHeight="1">
      <x:c r="A11" s="1"/>
      <x:c r="B11" s="1"/>
      <x:c r="C11" s="30" t="str">
        <x:v>EBITDA</x:v>
      </x:c>
      <x:c r="D11" s="31" t="n">
        <x:f>'Assumptions'!E9</x:f>
        <x:v>16</x:v>
      </x:c>
      <x:c r="E11" s="32" t="n">
        <x:f>E8*E10</x:f>
        <x:v>13.39</x:v>
      </x:c>
      <x:c r="F11" s="32" t="n">
        <x:f>F8*F10</x:f>
        <x:v>14.996800000000002</x:v>
      </x:c>
      <x:c r="G11" s="32" t="n">
        <x:f>G8*G10</x:f>
        <x:v>16.710720000000002</x:v>
      </x:c>
      <x:c r="H11" s="32" t="n">
        <x:f>H8*H10</x:f>
        <x:v>18.35951104</x:v>
      </x:c>
      <x:c r="I11" s="32" t="n">
        <x:f>I8*I10</x:f>
        <x:v>18.818498816</x:v>
      </x:c>
      <x:c r="J11" s="2"/>
      <x:c r="K11" s="2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 t="str">
        <x:v>Depreciation and amortisation</x:v>
      </x:c>
      <x:c r="D12" s="1"/>
      <x:c r="E12" s="25" t="n">
        <x:f>E8*'Assumptions'!$E$14</x:f>
        <x:v>4.12</x:v>
      </x:c>
      <x:c r="F12" s="25" t="n">
        <x:f>F8*'Assumptions'!$E$14</x:f>
        <x:v>4.284800000000001</x:v>
      </x:c>
      <x:c r="G12" s="25" t="n">
        <x:f>G8*'Assumptions'!$E$14</x:f>
        <x:v>4.456192000000001</x:v>
      </x:c>
      <x:c r="H12" s="25" t="n">
        <x:f>H8*'Assumptions'!$E$14</x:f>
        <x:v>4.58987776</x:v>
      </x:c>
      <x:c r="I12" s="25" t="n">
        <x:f>I8*'Assumptions'!$E$14</x:f>
        <x:v>4.704624704</x:v>
      </x:c>
      <x:c r="J12" s="2"/>
      <x:c r="K12" s="2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30" t="str">
        <x:v>EBIT</x:v>
      </x:c>
      <x:c r="D13" s="30"/>
      <x:c r="E13" s="32" t="n">
        <x:f>E11-E12</x:f>
        <x:v>9.27</x:v>
      </x:c>
      <x:c r="F13" s="32" t="n">
        <x:f>F11-F12</x:f>
        <x:v>10.712000000000002</x:v>
      </x:c>
      <x:c r="G13" s="32" t="n">
        <x:f>G11-G12</x:f>
        <x:v>12.254528</x:v>
      </x:c>
      <x:c r="H13" s="32" t="n">
        <x:f>H11-H12</x:f>
        <x:v>13.76963328</x:v>
      </x:c>
      <x:c r="I13" s="32" t="n">
        <x:f>I11-I12</x:f>
        <x:v>14.113874112000001</x:v>
      </x:c>
      <x:c r="J13" s="2"/>
      <x:c r="K13" s="2"/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1" t="str">
        <x:v>Unlevered cash tax</x:v>
      </x:c>
      <x:c r="D14" s="1"/>
      <x:c r="E14" s="25" t="n">
        <x:f>MAX(E13,0)*'Assumptions'!$E$13</x:f>
        <x:v>2.3175</x:v>
      </x:c>
      <x:c r="F14" s="25" t="n">
        <x:f>MAX(F13,0)*'Assumptions'!$E$13</x:f>
        <x:v>2.6780000000000004</x:v>
      </x:c>
      <x:c r="G14" s="25" t="n">
        <x:f>MAX(G13,0)*'Assumptions'!$E$13</x:f>
        <x:v>3.063632</x:v>
      </x:c>
      <x:c r="H14" s="25" t="n">
        <x:f>MAX(H13,0)*'Assumptions'!$E$13</x:f>
        <x:v>3.44240832</x:v>
      </x:c>
      <x:c r="I14" s="25" t="n">
        <x:f>MAX(I13,0)*'Assumptions'!$E$13</x:f>
        <x:v>3.5284685280000003</x:v>
      </x:c>
      <x:c r="J14" s="2"/>
      <x:c r="K14" s="2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30" t="str">
        <x:v>NOPAT</x:v>
      </x:c>
      <x:c r="D15" s="30"/>
      <x:c r="E15" s="32" t="n">
        <x:f>E13-E14</x:f>
        <x:v>6.9525</x:v>
      </x:c>
      <x:c r="F15" s="32" t="n">
        <x:f>F13-F14</x:f>
        <x:v>8.034</x:v>
      </x:c>
      <x:c r="G15" s="32" t="n">
        <x:f>G13-G14</x:f>
        <x:v>9.190896</x:v>
      </x:c>
      <x:c r="H15" s="32" t="n">
        <x:f>H13-H14</x:f>
        <x:v>10.32722496</x:v>
      </x:c>
      <x:c r="I15" s="32" t="n">
        <x:f>I13-I14</x:f>
        <x:v>10.585405584</x:v>
      </x:c>
      <x:c r="J15" s="2"/>
      <x:c r="K15" s="2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 t="str">
        <x:v>Capital expenditure</x:v>
      </x:c>
      <x:c r="D16" s="1"/>
      <x:c r="E16" s="25" t="n">
        <x:f>E8*'Assumptions'!$E$15</x:f>
        <x:v>5.15</x:v>
      </x:c>
      <x:c r="F16" s="25" t="n">
        <x:f>F8*'Assumptions'!$E$15</x:f>
        <x:v>5.356000000000001</x:v>
      </x:c>
      <x:c r="G16" s="25" t="n">
        <x:f>G8*'Assumptions'!$E$15</x:f>
        <x:v>5.570240000000001</x:v>
      </x:c>
      <x:c r="H16" s="25" t="n">
        <x:f>H8*'Assumptions'!$E$15</x:f>
        <x:v>5.737347200000001</x:v>
      </x:c>
      <x:c r="I16" s="25" t="n">
        <x:f>I8*'Assumptions'!$E$15</x:f>
        <x:v>5.8807808800000005</x:v>
      </x:c>
      <x:c r="J16" s="2"/>
      <x:c r="K16" s="2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 t="str">
        <x:v>Noncash working capital</x:v>
      </x:c>
      <x:c r="D17" s="3" t="n">
        <x:f>'Assumptions'!E10</x:f>
        <x:v>15</x:v>
      </x:c>
      <x:c r="E17" s="25" t="n">
        <x:f>E8*'Assumptions'!$E$16</x:f>
        <x:v>15.45</x:v>
      </x:c>
      <x:c r="F17" s="25" t="n">
        <x:f>F8*'Assumptions'!$E$16</x:f>
        <x:v>16.068</x:v>
      </x:c>
      <x:c r="G17" s="25" t="n">
        <x:f>G8*'Assumptions'!$E$16</x:f>
        <x:v>16.710720000000002</x:v>
      </x:c>
      <x:c r="H17" s="25" t="n">
        <x:f>H8*'Assumptions'!$E$16</x:f>
        <x:v>17.212041600000003</x:v>
      </x:c>
      <x:c r="I17" s="25" t="n">
        <x:f>I8*'Assumptions'!$E$16</x:f>
        <x:v>17.64234264</x:v>
      </x:c>
      <x:c r="J17" s="2"/>
      <x:c r="K17" s="2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 t="str">
        <x:v>Change in working capital</x:v>
      </x:c>
      <x:c r="D18" s="1"/>
      <x:c r="E18" s="2" t="n">
        <x:f>E17-D17</x:f>
        <x:v>0.4499999999999993</x:v>
      </x:c>
      <x:c r="F18" s="2" t="n">
        <x:f>F17-E17</x:f>
        <x:v>0.6180000000000021</x:v>
      </x:c>
      <x:c r="G18" s="2" t="n">
        <x:f>G17-F17</x:f>
        <x:v>0.6427200000000006</x:v>
      </x:c>
      <x:c r="H18" s="2" t="n">
        <x:f>H17-G17</x:f>
        <x:v>0.5013216000000007</x:v>
      </x:c>
      <x:c r="I18" s="2" t="n">
        <x:f>I17-H17</x:f>
        <x:v>0.43030103999999625</x:v>
      </x:c>
      <x:c r="J18" s="2"/>
      <x:c r="K18" s="2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30" t="str">
        <x:v>Unlevered free cash flow</x:v>
      </x:c>
      <x:c r="D19" s="30"/>
      <x:c r="E19" s="32" t="n">
        <x:f>E15+E12-E16-E18</x:f>
        <x:v>5.4725</x:v>
      </x:c>
      <x:c r="F19" s="32" t="n">
        <x:f>F15+F12-F16-F18</x:f>
        <x:v>6.344799999999998</x:v>
      </x:c>
      <x:c r="G19" s="32" t="n">
        <x:f>G15+G12-G16-G18</x:f>
        <x:v>7.434127999999998</x:v>
      </x:c>
      <x:c r="H19" s="32" t="n">
        <x:f>H15+H12-H16-H18</x:f>
        <x:v>8.67843392</x:v>
      </x:c>
      <x:c r="I19" s="32" t="n">
        <x:f>I15+I12-I16-I18</x:f>
        <x:v>8.978948368000005</x:v>
      </x:c>
      <x:c r="J19" s="2"/>
      <x:c r="K19" s="2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/>
      <x:c r="D20" s="1"/>
      <x:c r="E20" s="2"/>
      <x:c r="F20" s="2"/>
      <x:c r="G20" s="2"/>
      <x:c r="H20" s="2"/>
      <x:c r="I20" s="2"/>
      <x:c r="J20" s="2"/>
      <x:c r="K20" s="2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/>
      <x:c r="D21" s="1"/>
      <x:c r="E21" s="2"/>
      <x:c r="F21" s="2"/>
      <x:c r="G21" s="2"/>
      <x:c r="H21" s="2"/>
      <x:c r="I21" s="2"/>
      <x:c r="J21" s="2"/>
      <x:c r="K21" s="2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1" t="str">
        <x:v>Illustrative opening values and forecasts; no historical company data.</x:v>
      </x:c>
      <x:c r="D22" s="1"/>
      <x:c r="E22" s="2"/>
      <x:c r="F22" s="2"/>
      <x:c r="G22" s="2"/>
      <x:c r="H22" s="2"/>
      <x:c r="I22" s="2"/>
      <x:c r="J22" s="2"/>
      <x:c r="K22" s="2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 t="str">
        <x:v>Cash tax is floored at zero; losses are not carried forward.</x:v>
      </x:c>
      <x:c r="D23" s="1"/>
      <x:c r="E23" s="2"/>
      <x:c r="F23" s="2"/>
      <x:c r="G23" s="2"/>
      <x:c r="H23" s="2"/>
      <x:c r="I23" s="2"/>
      <x:c r="J23" s="2"/>
      <x:c r="K23" s="2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/>
      <x:c r="D24" s="1"/>
      <x:c r="E24" s="2"/>
      <x:c r="F24" s="2"/>
      <x:c r="G24" s="2"/>
      <x:c r="H24" s="2"/>
      <x:c r="I24" s="2"/>
      <x:c r="J24" s="2"/>
      <x:c r="K24" s="2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/>
      <x:c r="D25" s="1"/>
      <x:c r="E25" s="2"/>
      <x:c r="F25" s="2"/>
      <x:c r="G25" s="2"/>
      <x:c r="H25" s="2"/>
      <x:c r="I25" s="2"/>
      <x:c r="J25" s="2"/>
      <x:c r="K25" s="2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/>
      <x:c r="D26" s="1"/>
      <x:c r="E26" s="2"/>
      <x:c r="F26" s="2"/>
      <x:c r="G26" s="2"/>
      <x:c r="H26" s="2"/>
      <x:c r="I26" s="2"/>
      <x:c r="J26" s="2"/>
      <x:c r="K26" s="2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"/>
      <x:c r="D27" s="1"/>
      <x:c r="E27" s="2"/>
      <x:c r="F27" s="2"/>
      <x:c r="G27" s="2"/>
      <x:c r="H27" s="2"/>
      <x:c r="I27" s="2"/>
      <x:c r="J27" s="2"/>
      <x:c r="K27" s="2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/>
      <x:c r="D28" s="1"/>
      <x:c r="E28" s="2"/>
      <x:c r="F28" s="2"/>
      <x:c r="G28" s="2"/>
      <x:c r="H28" s="2"/>
      <x:c r="I28" s="2"/>
      <x:c r="J28" s="2"/>
      <x:c r="K28" s="2"/>
      <x:c r="L28" s="1"/>
      <x:c r="M28" s="1"/>
      <x:c r="N28" s="1"/>
      <x:c r="O28" s="1"/>
      <x:c r="P28" s="1"/>
      <x:c r="Q28" s="1"/>
    </x:row>
    <x:row r="29" ht="21" customHeight="1">
      <x:c r="A29" s="1"/>
      <x:c r="B29" s="1"/>
      <x:c r="C29" s="1"/>
      <x:c r="D29" s="1"/>
      <x:c r="E29" s="2"/>
      <x:c r="F29" s="2"/>
      <x:c r="G29" s="2"/>
      <x:c r="H29" s="2"/>
      <x:c r="I29" s="2"/>
      <x:c r="J29" s="2"/>
      <x:c r="K29" s="2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/>
      <x:c r="D30" s="1"/>
      <x:c r="E30" s="2"/>
      <x:c r="F30" s="2"/>
      <x:c r="G30" s="2"/>
      <x:c r="H30" s="2"/>
      <x:c r="I30" s="2"/>
      <x:c r="J30" s="2"/>
      <x:c r="K30" s="2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/>
      <x:c r="D31" s="1"/>
      <x:c r="E31" s="2"/>
      <x:c r="F31" s="2"/>
      <x:c r="G31" s="2"/>
      <x:c r="H31" s="2"/>
      <x:c r="I31" s="2"/>
      <x:c r="J31" s="2"/>
      <x:c r="K31" s="2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/>
      <x:c r="D32" s="1"/>
      <x:c r="E32" s="2"/>
      <x:c r="F32" s="2"/>
      <x:c r="G32" s="2"/>
      <x:c r="H32" s="2"/>
      <x:c r="I32" s="2"/>
      <x:c r="J32" s="2"/>
      <x:c r="K32" s="2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1"/>
      <x:c r="D33" s="1"/>
      <x:c r="E33" s="2"/>
      <x:c r="F33" s="2"/>
      <x:c r="G33" s="2"/>
      <x:c r="H33" s="2"/>
      <x:c r="I33" s="2"/>
      <x:c r="J33" s="2"/>
      <x:c r="K33" s="2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/>
      <x:c r="D34" s="1"/>
      <x:c r="E34" s="2"/>
      <x:c r="F34" s="2"/>
      <x:c r="G34" s="2"/>
      <x:c r="H34" s="2"/>
      <x:c r="I34" s="2"/>
      <x:c r="J34" s="2"/>
      <x:c r="K34" s="2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/>
      <x:c r="D35" s="1"/>
      <x:c r="E35" s="2"/>
      <x:c r="F35" s="2"/>
      <x:c r="G35" s="2"/>
      <x:c r="H35" s="2"/>
      <x:c r="I35" s="2"/>
      <x:c r="J35" s="2"/>
      <x:c r="K35" s="2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/>
      <x:c r="D36" s="1"/>
      <x:c r="E36" s="2"/>
      <x:c r="F36" s="2"/>
      <x:c r="G36" s="2"/>
      <x:c r="H36" s="2"/>
      <x:c r="I36" s="2"/>
      <x:c r="J36" s="2"/>
      <x:c r="K36" s="2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/>
      <x:c r="D37" s="1"/>
      <x:c r="E37" s="2"/>
      <x:c r="F37" s="2"/>
      <x:c r="G37" s="2"/>
      <x:c r="H37" s="2"/>
      <x:c r="I37" s="2"/>
      <x:c r="J37" s="2"/>
      <x:c r="K37" s="2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/>
      <x:c r="D38" s="1"/>
      <x:c r="E38" s="2"/>
      <x:c r="F38" s="2"/>
      <x:c r="G38" s="2"/>
      <x:c r="H38" s="2"/>
      <x:c r="I38" s="2"/>
      <x:c r="J38" s="2"/>
      <x:c r="K38" s="2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/>
      <x:c r="D39" s="1"/>
      <x:c r="E39" s="2"/>
      <x:c r="F39" s="2"/>
      <x:c r="G39" s="2"/>
      <x:c r="H39" s="2"/>
      <x:c r="I39" s="2"/>
      <x:c r="J39" s="2"/>
      <x:c r="K39" s="2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2"/>
      <x:c r="F40" s="2"/>
      <x:c r="G40" s="2"/>
      <x:c r="H40" s="2"/>
      <x:c r="I40" s="2"/>
      <x:c r="J40" s="2"/>
      <x:c r="K40" s="2"/>
      <x:c r="L40" s="1"/>
      <x:c r="M40" s="1"/>
      <x:c r="N40" s="1"/>
      <x:c r="O40" s="1"/>
      <x:c r="P40" s="1"/>
      <x:c r="Q40" s="1"/>
    </x:row>
    <x:row r="41" ht="21" customHeight="1">
      <x:c r="A41" s="1"/>
      <x:c r="B41" s="1"/>
      <x:c r="C41" s="1"/>
      <x:c r="D41" s="1"/>
      <x:c r="E41" s="2"/>
      <x:c r="F41" s="2"/>
      <x:c r="G41" s="2"/>
      <x:c r="H41" s="2"/>
      <x:c r="I41" s="2"/>
      <x:c r="J41" s="2"/>
      <x:c r="K41" s="2"/>
      <x:c r="L41" s="1"/>
      <x:c r="M41" s="1"/>
      <x:c r="N41" s="1"/>
      <x:c r="O41" s="1"/>
      <x:c r="P41" s="1"/>
      <x:c r="Q41" s="1"/>
    </x:row>
    <x:row r="42" ht="21" customHeight="1">
      <x:c r="A42" s="1"/>
      <x:c r="B42" s="1"/>
      <x:c r="C42" s="1"/>
      <x:c r="D42" s="1"/>
      <x:c r="E42" s="2"/>
      <x:c r="F42" s="2"/>
      <x:c r="G42" s="2"/>
      <x:c r="H42" s="2"/>
      <x:c r="I42" s="2"/>
      <x:c r="J42" s="2"/>
      <x:c r="K42" s="2"/>
      <x:c r="L42" s="1"/>
      <x:c r="M42" s="1"/>
      <x:c r="N42" s="1"/>
      <x:c r="O42" s="1"/>
      <x:c r="P42" s="1"/>
      <x:c r="Q42" s="1"/>
    </x:row>
    <x:row r="43" ht="21" customHeight="1">
      <x:c r="A43" s="1"/>
      <x:c r="B43" s="1"/>
      <x:c r="C43" s="1"/>
      <x:c r="D43" s="1"/>
      <x:c r="E43" s="2"/>
      <x:c r="F43" s="2"/>
      <x:c r="G43" s="2"/>
      <x:c r="H43" s="2"/>
      <x:c r="I43" s="2"/>
      <x:c r="J43" s="2"/>
      <x:c r="K43" s="2"/>
      <x:c r="L43" s="1"/>
      <x:c r="M43" s="1"/>
      <x:c r="N43" s="1"/>
      <x:c r="O43" s="1"/>
      <x:c r="P43" s="1"/>
      <x:c r="Q43" s="1"/>
    </x:row>
    <x:row r="44" ht="21" customHeight="1">
      <x:c r="A44" s="1"/>
      <x:c r="B44" s="1"/>
      <x:c r="C44" s="1"/>
      <x:c r="D44" s="1"/>
      <x:c r="E44" s="2"/>
      <x:c r="F44" s="2"/>
      <x:c r="G44" s="2"/>
      <x:c r="H44" s="2"/>
      <x:c r="I44" s="2"/>
      <x:c r="J44" s="2"/>
      <x:c r="K44" s="2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1"/>
      <x:c r="D45" s="1"/>
      <x:c r="E45" s="2"/>
      <x:c r="F45" s="2"/>
      <x:c r="G45" s="2"/>
      <x:c r="H45" s="2"/>
      <x:c r="I45" s="2"/>
      <x:c r="J45" s="2"/>
      <x:c r="K45" s="2"/>
      <x:c r="L45" s="1"/>
      <x:c r="M45" s="1"/>
      <x:c r="N45" s="1"/>
      <x:c r="O45" s="1"/>
      <x:c r="P45" s="1"/>
      <x:c r="Q45" s="1"/>
    </x:row>
    <x:row r="46" ht="21" customHeight="1">
      <x:c r="A46" s="1"/>
      <x:c r="B46" s="1"/>
      <x:c r="C46" s="1"/>
      <x:c r="D46" s="1"/>
      <x:c r="E46" s="2"/>
      <x:c r="F46" s="2"/>
      <x:c r="G46" s="2"/>
      <x:c r="H46" s="2"/>
      <x:c r="I46" s="2"/>
      <x:c r="J46" s="2"/>
      <x:c r="K46" s="2"/>
      <x:c r="L46" s="1"/>
      <x:c r="M46" s="1"/>
      <x:c r="N46" s="1"/>
      <x:c r="O46" s="1"/>
      <x:c r="P46" s="1"/>
      <x:c r="Q46" s="1"/>
    </x:row>
    <x:row r="47" ht="21" customHeight="1">
      <x:c r="A47" s="1"/>
      <x:c r="B47" s="1"/>
      <x:c r="C47" s="1"/>
      <x:c r="D47" s="1"/>
      <x:c r="E47" s="2"/>
      <x:c r="F47" s="2"/>
      <x:c r="G47" s="2"/>
      <x:c r="H47" s="2"/>
      <x:c r="I47" s="2"/>
      <x:c r="J47" s="2"/>
      <x:c r="K47" s="2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2"/>
      <x:c r="F48" s="2"/>
      <x:c r="G48" s="2"/>
      <x:c r="H48" s="2"/>
      <x:c r="I48" s="2"/>
      <x:c r="J48" s="2"/>
      <x:c r="K48" s="2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2"/>
      <x:c r="F49" s="2"/>
      <x:c r="G49" s="2"/>
      <x:c r="H49" s="2"/>
      <x:c r="I49" s="2"/>
      <x:c r="J49" s="2"/>
      <x:c r="K49" s="2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/>
      <x:c r="D50" s="1"/>
      <x:c r="E50" s="2"/>
      <x:c r="F50" s="2"/>
      <x:c r="G50" s="2"/>
      <x:c r="H50" s="2"/>
      <x:c r="I50" s="2"/>
      <x:c r="J50" s="2"/>
      <x:c r="K50" s="2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/>
      <x:c r="D51" s="1"/>
      <x:c r="E51" s="2"/>
      <x:c r="F51" s="2"/>
      <x:c r="G51" s="2"/>
      <x:c r="H51" s="2"/>
      <x:c r="I51" s="2"/>
      <x:c r="J51" s="2"/>
      <x:c r="K51" s="2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/>
      <x:c r="D52" s="1"/>
      <x:c r="E52" s="2"/>
      <x:c r="F52" s="2"/>
      <x:c r="G52" s="2"/>
      <x:c r="H52" s="2"/>
      <x:c r="I52" s="2"/>
      <x:c r="J52" s="2"/>
      <x:c r="K52" s="2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2"/>
      <x:c r="F53" s="2"/>
      <x:c r="G53" s="2"/>
      <x:c r="H53" s="2"/>
      <x:c r="I53" s="2"/>
      <x:c r="J53" s="2"/>
      <x:c r="K53" s="2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2"/>
      <x:c r="F54" s="2"/>
      <x:c r="G54" s="2"/>
      <x:c r="H54" s="2"/>
      <x:c r="I54" s="2"/>
      <x:c r="J54" s="2"/>
      <x:c r="K54" s="2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2"/>
      <x:c r="F55" s="2"/>
      <x:c r="G55" s="2"/>
      <x:c r="H55" s="2"/>
      <x:c r="I55" s="2"/>
      <x:c r="J55" s="2"/>
      <x:c r="K55" s="2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2"/>
      <x:c r="F56" s="2"/>
      <x:c r="G56" s="2"/>
      <x:c r="H56" s="2"/>
      <x:c r="I56" s="2"/>
      <x:c r="J56" s="2"/>
      <x:c r="K56" s="2"/>
      <x:c r="L56" s="1"/>
      <x:c r="M56" s="1"/>
      <x:c r="N56" s="1"/>
      <x:c r="O56" s="1"/>
      <x:c r="P56" s="1"/>
      <x:c r="Q56" s="1"/>
    </x:row>
    <x:row r="57" ht="21" customHeight="1">
      <x:c r="A57" s="1"/>
      <x:c r="B57" s="1"/>
      <x:c r="C57" s="1"/>
      <x:c r="D57" s="1"/>
      <x:c r="E57" s="2"/>
      <x:c r="F57" s="2"/>
      <x:c r="G57" s="2"/>
      <x:c r="H57" s="2"/>
      <x:c r="I57" s="2"/>
      <x:c r="J57" s="2"/>
      <x:c r="K57" s="2"/>
      <x:c r="L57" s="1"/>
      <x:c r="M57" s="1"/>
      <x:c r="N57" s="1"/>
      <x:c r="O57" s="1"/>
      <x:c r="P57" s="1"/>
      <x:c r="Q57" s="1"/>
    </x:row>
    <x:row r="58" ht="21" customHeight="1">
      <x:c r="A58" s="1"/>
      <x:c r="B58" s="1"/>
      <x:c r="C58" s="1"/>
      <x:c r="D58" s="1"/>
      <x:c r="E58" s="2"/>
      <x:c r="F58" s="2"/>
      <x:c r="G58" s="2"/>
      <x:c r="H58" s="2"/>
      <x:c r="I58" s="2"/>
      <x:c r="J58" s="2"/>
      <x:c r="K58" s="2"/>
      <x:c r="L58" s="1"/>
      <x:c r="M58" s="1"/>
      <x:c r="N58" s="1"/>
      <x:c r="O58" s="1"/>
      <x:c r="P58" s="1"/>
      <x:c r="Q58" s="1"/>
    </x:row>
    <x:row r="59" ht="21" customHeight="1">
      <x:c r="A59" s="1"/>
      <x:c r="B59" s="1"/>
      <x:c r="C59" s="1"/>
      <x:c r="D59" s="1"/>
      <x:c r="E59" s="2"/>
      <x:c r="F59" s="2"/>
      <x:c r="G59" s="2"/>
      <x:c r="H59" s="2"/>
      <x:c r="I59" s="2"/>
      <x:c r="J59" s="2"/>
      <x:c r="K59" s="2"/>
      <x:c r="L59" s="1"/>
      <x:c r="M59" s="1"/>
      <x:c r="N59" s="1"/>
      <x:c r="O59" s="1"/>
      <x:c r="P59" s="1"/>
      <x:c r="Q59" s="1"/>
    </x:row>
    <x:row r="60" ht="21" customHeight="1">
      <x:c r="A60" s="1"/>
      <x:c r="B60" s="1"/>
      <x:c r="C60" s="1"/>
      <x:c r="D60" s="1"/>
      <x:c r="E60" s="2"/>
      <x:c r="F60" s="2"/>
      <x:c r="G60" s="2"/>
      <x:c r="H60" s="2"/>
      <x:c r="I60" s="2"/>
      <x:c r="J60" s="2"/>
      <x:c r="K60" s="2"/>
      <x:c r="L60" s="1"/>
      <x:c r="M60" s="1"/>
      <x:c r="N60" s="1"/>
      <x:c r="O60" s="1"/>
      <x:c r="P60" s="1"/>
      <x:c r="Q60" s="1"/>
    </x:row>
    <x:row r="61" ht="21" customHeight="1">
      <x:c r="A61" s="1"/>
      <x:c r="B61" s="1"/>
      <x:c r="C61" s="1"/>
      <x:c r="D61" s="1"/>
      <x:c r="E61" s="2"/>
      <x:c r="F61" s="2"/>
      <x:c r="G61" s="2"/>
      <x:c r="H61" s="2"/>
      <x:c r="I61" s="2"/>
      <x:c r="J61" s="2"/>
      <x:c r="K61" s="2"/>
      <x:c r="L61" s="1"/>
      <x:c r="M61" s="1"/>
      <x:c r="N61" s="1"/>
      <x:c r="O61" s="1"/>
      <x:c r="P61" s="1"/>
      <x:c r="Q61" s="1"/>
    </x:row>
    <x:row r="62" ht="21" customHeight="1">
      <x:c r="A62" s="1"/>
      <x:c r="B62" s="1"/>
      <x:c r="C62" s="1"/>
      <x:c r="D62" s="1"/>
      <x:c r="E62" s="2"/>
      <x:c r="F62" s="2"/>
      <x:c r="G62" s="2"/>
      <x:c r="H62" s="2"/>
      <x:c r="I62" s="2"/>
      <x:c r="J62" s="2"/>
      <x:c r="K62" s="2"/>
      <x:c r="L62" s="1"/>
      <x:c r="M62" s="1"/>
      <x:c r="N62" s="1"/>
      <x:c r="O62" s="1"/>
      <x:c r="P62" s="1"/>
      <x:c r="Q62" s="1"/>
    </x:row>
    <x:row r="63" ht="21" customHeight="1">
      <x:c r="A63" s="1"/>
      <x:c r="B63" s="1"/>
      <x:c r="C63" s="1"/>
      <x:c r="D63" s="1"/>
      <x:c r="E63" s="2"/>
      <x:c r="F63" s="2"/>
      <x:c r="G63" s="2"/>
      <x:c r="H63" s="2"/>
      <x:c r="I63" s="2"/>
      <x:c r="J63" s="2"/>
      <x:c r="K63" s="2"/>
      <x:c r="L63" s="1"/>
      <x:c r="M63" s="1"/>
      <x:c r="N63" s="1"/>
      <x:c r="O63" s="1"/>
      <x:c r="P63" s="1"/>
      <x:c r="Q63" s="1"/>
    </x:row>
    <x:row r="64" ht="21" customHeight="1">
      <x:c r="A64" s="1"/>
      <x:c r="B64" s="1"/>
      <x:c r="C64" s="1"/>
      <x:c r="D64" s="1"/>
      <x:c r="E64" s="2"/>
      <x:c r="F64" s="2"/>
      <x:c r="G64" s="2"/>
      <x:c r="H64" s="2"/>
      <x:c r="I64" s="2"/>
      <x:c r="J64" s="2"/>
      <x:c r="K64" s="2"/>
      <x:c r="L64" s="1"/>
      <x:c r="M64" s="1"/>
      <x:c r="N64" s="1"/>
      <x:c r="O64" s="1"/>
      <x:c r="P64" s="1"/>
      <x:c r="Q64" s="1"/>
    </x:row>
    <x:row r="65" ht="21" customHeight="1">
      <x:c r="A65" s="1"/>
      <x:c r="B65" s="1"/>
      <x:c r="C65" s="1"/>
      <x:c r="D65" s="1"/>
      <x:c r="E65" s="2"/>
      <x:c r="F65" s="2"/>
      <x:c r="G65" s="2"/>
      <x:c r="H65" s="2"/>
      <x:c r="I65" s="2"/>
      <x:c r="J65" s="2"/>
      <x:c r="K65" s="2"/>
      <x:c r="L65" s="1"/>
      <x:c r="M65" s="1"/>
      <x:c r="N65" s="1"/>
      <x:c r="O65" s="1"/>
      <x:c r="P65" s="1"/>
      <x:c r="Q6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46C8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7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/>
      <x:c r="B2" s="1"/>
      <x:c r="C2" s="5" t="str">
        <x:v>Aster Precision Components - illustrative inputs</x:v>
      </x:c>
      <x:c r="D2" s="5"/>
      <x:c r="E2" s="5"/>
      <x:c r="F2" s="5"/>
      <x:c r="G2" s="5"/>
      <x:c r="H2" s="5"/>
      <x:c r="I2" s="5"/>
      <x:c r="J2" s="5"/>
      <x:c r="K2" s="5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 t="str">
        <x:v>Case: 1 Base / 2 Downside</x:v>
      </x:c>
      <x:c r="D3" s="8" t="n">
        <x:v>1</x:v>
      </x:c>
      <x:c r="E3" s="4"/>
      <x:c r="F3" s="1"/>
      <x:c r="G3" s="4" t="str">
        <x:f>CHOOSE(D3,"Base","Downside")</x:f>
        <x:v>Base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4" customHeight="1">
      <x:c r="A6" s="1"/>
      <x:c r="B6" s="1"/>
      <x:c r="C6" s="10" t="str">
        <x:v>Global assumptions - GBP million</x:v>
      </x:c>
      <x:c r="D6" s="10"/>
      <x:c r="E6" s="10"/>
      <x:c r="F6" s="10"/>
      <x:c r="G6" s="10"/>
      <x:c r="H6" s="10"/>
      <x:c r="I6" s="10"/>
      <x:c r="J6" s="10"/>
      <x:c r="K6" s="10"/>
      <x:c r="L6" s="1"/>
      <x:c r="M6" s="1"/>
      <x:c r="N6" s="1"/>
      <x:c r="O6" s="1"/>
      <x:c r="P6" s="1"/>
      <x:c r="Q6" s="1"/>
    </x:row>
    <x:row r="7" ht="21" customHeight="1">
      <x:c r="A7" s="1"/>
      <x:c r="B7" s="1"/>
      <x:c r="C7" s="1"/>
      <x:c r="D7" s="1"/>
      <x:c r="E7" s="2"/>
      <x:c r="F7" s="2"/>
      <x:c r="G7" s="2"/>
      <x:c r="H7" s="2"/>
      <x:c r="I7" s="2"/>
      <x:c r="J7" s="2"/>
      <x:c r="K7" s="2"/>
      <x:c r="L7" s="1"/>
      <x:c r="M7" s="1"/>
      <x:c r="N7" s="1"/>
      <x:c r="O7" s="1"/>
      <x:c r="P7" s="1"/>
      <x:c r="Q7" s="1"/>
    </x:row>
    <x:row r="8" ht="21" customHeight="1">
      <x:c r="A8" s="1"/>
      <x:c r="B8" s="1"/>
      <x:c r="C8" s="1" t="str">
        <x:v>Opening revenue</x:v>
      </x:c>
      <x:c r="D8" s="1"/>
      <x:c r="E8" s="12" t="n">
        <x:v>100</x:v>
      </x:c>
      <x:c r="F8" s="2"/>
      <x:c r="G8" s="2" t="str">
        <x:v>All numeric inputs are invented, not reported company data.</x:v>
      </x:c>
      <x:c r="H8" s="2"/>
      <x:c r="I8" s="2"/>
      <x:c r="J8" s="2"/>
      <x:c r="K8" s="2"/>
      <x:c r="L8" s="1"/>
      <x:c r="M8" s="1"/>
      <x:c r="N8" s="1"/>
      <x:c r="O8" s="1"/>
      <x:c r="P8" s="1"/>
      <x:c r="Q8" s="1"/>
    </x:row>
    <x:row r="9" ht="21" customHeight="1">
      <x:c r="A9" s="1"/>
      <x:c r="B9" s="1"/>
      <x:c r="C9" s="1" t="str">
        <x:v>Opening EBITDA</x:v>
      </x:c>
      <x:c r="D9" s="1"/>
      <x:c r="E9" s="12" t="n">
        <x:v>16</x:v>
      </x:c>
      <x:c r="F9" s="2"/>
      <x:c r="G9" s="2"/>
      <x:c r="H9" s="2"/>
      <x:c r="I9" s="2"/>
      <x:c r="J9" s="2"/>
      <x:c r="K9" s="2"/>
      <x:c r="L9" s="1"/>
      <x:c r="M9" s="1"/>
      <x:c r="N9" s="1"/>
      <x:c r="O9" s="1"/>
      <x:c r="P9" s="1"/>
      <x:c r="Q9" s="1"/>
    </x:row>
    <x:row r="10" ht="21" customHeight="1">
      <x:c r="A10" s="1"/>
      <x:c r="B10" s="1"/>
      <x:c r="C10" s="1" t="str">
        <x:v>Opening noncash working capital</x:v>
      </x:c>
      <x:c r="D10" s="1"/>
      <x:c r="E10" s="12" t="n">
        <x:v>15</x:v>
      </x:c>
      <x:c r="F10" s="2"/>
      <x:c r="G10" s="2" t="str">
        <x:v>Valuation date: 31 December 2025. Five annual forecasts.</x:v>
      </x:c>
      <x:c r="H10" s="2"/>
      <x:c r="I10" s="2"/>
      <x:c r="J10" s="2"/>
      <x:c r="K10" s="2"/>
      <x:c r="L10" s="1"/>
      <x:c r="M10" s="1"/>
      <x:c r="N10" s="1"/>
      <x:c r="O10" s="1"/>
      <x:c r="P10" s="1"/>
      <x:c r="Q10" s="1"/>
    </x:row>
    <x:row r="11" ht="21" customHeight="1">
      <x:c r="A11" s="1"/>
      <x:c r="B11" s="1"/>
      <x:c r="C11" s="1" t="str">
        <x:v>Opening cash</x:v>
      </x:c>
      <x:c r="D11" s="1"/>
      <x:c r="E11" s="12" t="n">
        <x:v>4</x:v>
      </x:c>
      <x:c r="F11" s="2"/>
      <x:c r="G11" s="2"/>
      <x:c r="H11" s="2"/>
      <x:c r="I11" s="2"/>
      <x:c r="J11" s="2"/>
      <x:c r="K11" s="2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 t="str">
        <x:v>Minimum cash retained</x:v>
      </x:c>
      <x:c r="D12" s="1"/>
      <x:c r="E12" s="12" t="n">
        <x:v>3</x:v>
      </x:c>
      <x:c r="F12" s="2"/>
      <x:c r="G12" s="2" t="str">
        <x:v>Sources: inputs/case.json; docs/METHODS.md.</x:v>
      </x:c>
      <x:c r="H12" s="2"/>
      <x:c r="I12" s="2"/>
      <x:c r="J12" s="2"/>
      <x:c r="K12" s="2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1" t="str">
        <x:v>Tax rate</x:v>
      </x:c>
      <x:c r="D13" s="1"/>
      <x:c r="E13" s="14" t="n">
        <x:v>0.25</x:v>
      </x:c>
      <x:c r="F13" s="2"/>
      <x:c r="G13" s="2"/>
      <x:c r="H13" s="2"/>
      <x:c r="I13" s="2"/>
      <x:c r="J13" s="2"/>
      <x:c r="K13" s="2"/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1" t="str">
        <x:v>D&amp;A / revenue</x:v>
      </x:c>
      <x:c r="D14" s="1"/>
      <x:c r="E14" s="14" t="n">
        <x:v>0.04</x:v>
      </x:c>
      <x:c r="F14" s="2"/>
      <x:c r="G14" s="2" t="str">
        <x:v>DCF method: NYU Stern, Damodaran, Valuation.</x:v>
      </x:c>
      <x:c r="H14" s="2"/>
      <x:c r="I14" s="2"/>
      <x:c r="J14" s="2"/>
      <x:c r="K14" s="2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 t="str">
        <x:v>Capex / revenue</x:v>
      </x:c>
      <x:c r="D15" s="1"/>
      <x:c r="E15" s="14" t="n">
        <x:v>0.05</x:v>
      </x:c>
      <x:c r="F15" s="2"/>
      <x:c r="G15" s="2" t="str">
        <x:v>https://pages.stern.nyu.edu/~adamodar/New_Home_Page/lectures/val.html</x:v>
      </x:c>
      <x:c r="H15" s="2"/>
      <x:c r="I15" s="2"/>
      <x:c r="J15" s="2"/>
      <x:c r="K15" s="2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 t="str">
        <x:v>Noncash working capital / revenue</x:v>
      </x:c>
      <x:c r="D16" s="1"/>
      <x:c r="E16" s="14" t="n">
        <x:v>0.15</x:v>
      </x:c>
      <x:c r="F16" s="2"/>
      <x:c r="G16" s="2"/>
      <x:c r="H16" s="2"/>
      <x:c r="I16" s="2"/>
      <x:c r="J16" s="2"/>
      <x:c r="K16" s="2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 t="str">
        <x:v>Senior secured face debt</x:v>
      </x:c>
      <x:c r="D17" s="1"/>
      <x:c r="E17" s="12" t="n">
        <x:v>45</x:v>
      </x:c>
      <x:c r="F17" s="2"/>
      <x:c r="G17" s="2" t="str">
        <x:v>Terminal reinvestment = growth / assumed terminal ROIC.</x:v>
      </x:c>
      <x:c r="H17" s="2"/>
      <x:c r="I17" s="2"/>
      <x:c r="J17" s="2"/>
      <x:c r="K17" s="2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 t="str">
        <x:v>Senior secured coupon</x:v>
      </x:c>
      <x:c r="D18" s="1"/>
      <x:c r="E18" s="14" t="n">
        <x:v>0.09</x:v>
      </x:c>
      <x:c r="F18" s="2"/>
      <x:c r="G18" s="2" t="str">
        <x:v>https://pages.stern.nyu.edu/~adamodar/New_Home_Page/valquestions/termvalueexreturns.htm</x:v>
      </x:c>
      <x:c r="H18" s="2"/>
      <x:c r="I18" s="2"/>
      <x:c r="J18" s="2"/>
      <x:c r="K18" s="2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 t="str">
        <x:v>Senior secured maturity year</x:v>
      </x:c>
      <x:c r="D19" s="1"/>
      <x:c r="E19" s="8" t="n">
        <x:v>2030</x:v>
      </x:c>
      <x:c r="F19" s="2"/>
      <x:c r="G19" s="2"/>
      <x:c r="H19" s="2"/>
      <x:c r="I19" s="2"/>
      <x:c r="J19" s="2"/>
      <x:c r="K19" s="2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 t="str">
        <x:v>Unsecured notes face debt</x:v>
      </x:c>
      <x:c r="D20" s="1"/>
      <x:c r="E20" s="12" t="n">
        <x:v>35</x:v>
      </x:c>
      <x:c r="F20" s="2"/>
      <x:c r="G20" s="2" t="str">
        <x:v>Rankings and new-debt capacity are case assumptions.</x:v>
      </x:c>
      <x:c r="H20" s="2"/>
      <x:c r="I20" s="2"/>
      <x:c r="J20" s="2"/>
      <x:c r="K20" s="2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 t="str">
        <x:v>Unsecured notes coupon</x:v>
      </x:c>
      <x:c r="D21" s="1"/>
      <x:c r="E21" s="14" t="n">
        <x:v>0.12</x:v>
      </x:c>
      <x:c r="F21" s="2"/>
      <x:c r="G21" s="2"/>
      <x:c r="H21" s="2"/>
      <x:c r="I21" s="2"/>
      <x:c r="J21" s="2"/>
      <x:c r="K21" s="2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1" t="str">
        <x:v>Unsecured notes maturity year</x:v>
      </x:c>
      <x:c r="D22" s="1"/>
      <x:c r="E22" s="8" t="n">
        <x:v>2028</x:v>
      </x:c>
      <x:c r="F22" s="2"/>
      <x:c r="G22" s="2"/>
      <x:c r="H22" s="2"/>
      <x:c r="I22" s="2"/>
      <x:c r="J22" s="2"/>
      <x:c r="K22" s="2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 t="str">
        <x:v>Reorganisation cost</x:v>
      </x:c>
      <x:c r="D23" s="1"/>
      <x:c r="E23" s="12" t="n">
        <x:v>3</x:v>
      </x:c>
      <x:c r="F23" s="2"/>
      <x:c r="G23" s="2"/>
      <x:c r="H23" s="2"/>
      <x:c r="I23" s="2"/>
      <x:c r="J23" s="2"/>
      <x:c r="K23" s="2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 t="str">
        <x:v>New debt / first forecast EBITDA</x:v>
      </x:c>
      <x:c r="D24" s="1"/>
      <x:c r="E24" s="16" t="n">
        <x:v>3</x:v>
      </x:c>
      <x:c r="F24" s="2"/>
      <x:c r="G24" s="2"/>
      <x:c r="H24" s="2"/>
      <x:c r="I24" s="2"/>
      <x:c r="J24" s="2"/>
      <x:c r="K24" s="2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 t="str">
        <x:v>New debt coupon</x:v>
      </x:c>
      <x:c r="D25" s="1"/>
      <x:c r="E25" s="14" t="n">
        <x:v>0.08</x:v>
      </x:c>
      <x:c r="F25" s="2"/>
      <x:c r="G25" s="2"/>
      <x:c r="H25" s="2"/>
      <x:c r="I25" s="2"/>
      <x:c r="J25" s="2"/>
      <x:c r="K25" s="2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 t="str">
        <x:v>LBO debt coupon</x:v>
      </x:c>
      <x:c r="D26" s="1"/>
      <x:c r="E26" s="14" t="n">
        <x:v>0.1</x:v>
      </x:c>
      <x:c r="F26" s="2"/>
      <x:c r="G26" s="2"/>
      <x:c r="H26" s="2"/>
      <x:c r="I26" s="2"/>
      <x:c r="J26" s="2"/>
      <x:c r="K26" s="2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" t="str">
        <x:v>LBO amortisation / initial debt</x:v>
      </x:c>
      <x:c r="D27" s="1"/>
      <x:c r="E27" s="14" t="n">
        <x:v>0.02</x:v>
      </x:c>
      <x:c r="F27" s="2"/>
      <x:c r="G27" s="2"/>
      <x:c r="H27" s="2"/>
      <x:c r="I27" s="2"/>
      <x:c r="J27" s="2"/>
      <x:c r="K27" s="2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 t="str">
        <x:v>Transaction fees / entry EV</x:v>
      </x:c>
      <x:c r="D28" s="1"/>
      <x:c r="E28" s="14" t="n">
        <x:v>0.02</x:v>
      </x:c>
      <x:c r="F28" s="2"/>
      <x:c r="G28" s="2"/>
      <x:c r="H28" s="2"/>
      <x:c r="I28" s="2"/>
      <x:c r="J28" s="2"/>
      <x:c r="K28" s="2"/>
      <x:c r="L28" s="1"/>
      <x:c r="M28" s="1"/>
      <x:c r="N28" s="1"/>
      <x:c r="O28" s="1"/>
      <x:c r="P28" s="1"/>
      <x:c r="Q28" s="1"/>
    </x:row>
    <x:row r="29" ht="21" customHeight="1">
      <x:c r="A29" s="1"/>
      <x:c r="B29" s="1"/>
      <x:c r="C29" s="1" t="str">
        <x:v>Financing fees / entry debt</x:v>
      </x:c>
      <x:c r="D29" s="1"/>
      <x:c r="E29" s="14" t="n">
        <x:v>0.01</x:v>
      </x:c>
      <x:c r="F29" s="2"/>
      <x:c r="G29" s="2"/>
      <x:c r="H29" s="2"/>
      <x:c r="I29" s="2"/>
      <x:c r="J29" s="2"/>
      <x:c r="K29" s="2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/>
      <x:c r="D30" s="1"/>
      <x:c r="E30" s="2"/>
      <x:c r="F30" s="2"/>
      <x:c r="G30" s="2"/>
      <x:c r="H30" s="2"/>
      <x:c r="I30" s="2"/>
      <x:c r="J30" s="2"/>
      <x:c r="K30" s="2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/>
      <x:c r="D31" s="1"/>
      <x:c r="E31" s="2"/>
      <x:c r="F31" s="2"/>
      <x:c r="G31" s="2"/>
      <x:c r="H31" s="2"/>
      <x:c r="I31" s="2"/>
      <x:c r="J31" s="2"/>
      <x:c r="K31" s="2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/>
      <x:c r="D32" s="1"/>
      <x:c r="E32" s="2"/>
      <x:c r="F32" s="2"/>
      <x:c r="G32" s="2"/>
      <x:c r="H32" s="2"/>
      <x:c r="I32" s="2"/>
      <x:c r="J32" s="2"/>
      <x:c r="K32" s="2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1"/>
      <x:c r="D33" s="1"/>
      <x:c r="E33" s="20" t="n">
        <x:v>2026</x:v>
      </x:c>
      <x:c r="F33" s="20" t="n">
        <x:v>2027</x:v>
      </x:c>
      <x:c r="G33" s="20" t="n">
        <x:v>2028</x:v>
      </x:c>
      <x:c r="H33" s="20" t="n">
        <x:v>2029</x:v>
      </x:c>
      <x:c r="I33" s="20" t="n">
        <x:v>2030</x:v>
      </x:c>
      <x:c r="J33" s="2"/>
      <x:c r="K33" s="2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23" t="str">
        <x:v>Active revenue growth</x:v>
      </x:c>
      <x:c r="D34" s="23"/>
      <x:c r="E34" s="24" t="n">
        <x:f>CHOOSE($D$3,E35,E36)</x:f>
        <x:v>0.03</x:v>
      </x:c>
      <x:c r="F34" s="24" t="n">
        <x:f>CHOOSE($D$3,F35,F36)</x:f>
        <x:v>0.04</x:v>
      </x:c>
      <x:c r="G34" s="24" t="n">
        <x:f>CHOOSE($D$3,G35,G36)</x:f>
        <x:v>0.04</x:v>
      </x:c>
      <x:c r="H34" s="24" t="n">
        <x:f>CHOOSE($D$3,H35,H36)</x:f>
        <x:v>0.03</x:v>
      </x:c>
      <x:c r="I34" s="24" t="n">
        <x:f>CHOOSE($D$3,I35,I36)</x:f>
        <x:v>0.025</x:v>
      </x:c>
      <x:c r="J34" s="2"/>
      <x:c r="K34" s="2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 t="str">
        <x:v>Base growth</x:v>
      </x:c>
      <x:c r="D35" s="1"/>
      <x:c r="E35" s="14" t="n">
        <x:v>0.03</x:v>
      </x:c>
      <x:c r="F35" s="14" t="n">
        <x:v>0.04</x:v>
      </x:c>
      <x:c r="G35" s="14" t="n">
        <x:v>0.04</x:v>
      </x:c>
      <x:c r="H35" s="14" t="n">
        <x:v>0.03</x:v>
      </x:c>
      <x:c r="I35" s="14" t="n">
        <x:v>0.025</x:v>
      </x:c>
      <x:c r="J35" s="2"/>
      <x:c r="K35" s="2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 t="str">
        <x:v>Downside growth</x:v>
      </x:c>
      <x:c r="D36" s="1"/>
      <x:c r="E36" s="14" t="n">
        <x:v>-0.1</x:v>
      </x:c>
      <x:c r="F36" s="14" t="n">
        <x:v>-0.05</x:v>
      </x:c>
      <x:c r="G36" s="14" t="n">
        <x:v>0</x:v>
      </x:c>
      <x:c r="H36" s="14" t="n">
        <x:v>0.02</x:v>
      </x:c>
      <x:c r="I36" s="14" t="n">
        <x:v>0.025</x:v>
      </x:c>
      <x:c r="J36" s="2"/>
      <x:c r="K36" s="2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/>
      <x:c r="D37" s="1"/>
      <x:c r="E37" s="22"/>
      <x:c r="F37" s="22"/>
      <x:c r="G37" s="22"/>
      <x:c r="H37" s="22"/>
      <x:c r="I37" s="22"/>
      <x:c r="J37" s="2"/>
      <x:c r="K37" s="2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23" t="str">
        <x:v>Active EBITDA margin</x:v>
      </x:c>
      <x:c r="D38" s="23"/>
      <x:c r="E38" s="24" t="n">
        <x:f>CHOOSE($D$3,E39,E40)</x:f>
        <x:v>0.13</x:v>
      </x:c>
      <x:c r="F38" s="24" t="n">
        <x:f>CHOOSE($D$3,F39,F40)</x:f>
        <x:v>0.14</x:v>
      </x:c>
      <x:c r="G38" s="24" t="n">
        <x:f>CHOOSE($D$3,G39,G40)</x:f>
        <x:v>0.15</x:v>
      </x:c>
      <x:c r="H38" s="24" t="n">
        <x:f>CHOOSE($D$3,H39,H40)</x:f>
        <x:v>0.16</x:v>
      </x:c>
      <x:c r="I38" s="24" t="n">
        <x:f>CHOOSE($D$3,I39,I40)</x:f>
        <x:v>0.16</x:v>
      </x:c>
      <x:c r="J38" s="2"/>
      <x:c r="K38" s="2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 t="str">
        <x:v>Base EBITDA margin</x:v>
      </x:c>
      <x:c r="D39" s="1"/>
      <x:c r="E39" s="14" t="n">
        <x:v>0.13</x:v>
      </x:c>
      <x:c r="F39" s="14" t="n">
        <x:v>0.14</x:v>
      </x:c>
      <x:c r="G39" s="14" t="n">
        <x:v>0.15</x:v>
      </x:c>
      <x:c r="H39" s="14" t="n">
        <x:v>0.16</x:v>
      </x:c>
      <x:c r="I39" s="14" t="n">
        <x:v>0.16</x:v>
      </x:c>
      <x:c r="J39" s="2"/>
      <x:c r="K39" s="2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 t="str">
        <x:v>Downside EBITDA margin</x:v>
      </x:c>
      <x:c r="D40" s="1"/>
      <x:c r="E40" s="14" t="n">
        <x:v>0.08</x:v>
      </x:c>
      <x:c r="F40" s="14" t="n">
        <x:v>0.08</x:v>
      </x:c>
      <x:c r="G40" s="14" t="n">
        <x:v>0.1</x:v>
      </x:c>
      <x:c r="H40" s="14" t="n">
        <x:v>0.12</x:v>
      </x:c>
      <x:c r="I40" s="14" t="n">
        <x:v>0.13</x:v>
      </x:c>
      <x:c r="J40" s="2"/>
      <x:c r="K40" s="2"/>
      <x:c r="L40" s="1"/>
      <x:c r="M40" s="1"/>
      <x:c r="N40" s="1"/>
      <x:c r="O40" s="1"/>
      <x:c r="P40" s="1"/>
      <x:c r="Q40" s="1"/>
    </x:row>
    <x:row r="41" ht="21" customHeight="1">
      <x:c r="A41" s="1"/>
      <x:c r="B41" s="1"/>
      <x:c r="C41" s="1"/>
      <x:c r="D41" s="1"/>
      <x:c r="E41" s="2"/>
      <x:c r="F41" s="2"/>
      <x:c r="G41" s="2"/>
      <x:c r="H41" s="2"/>
      <x:c r="I41" s="2"/>
      <x:c r="J41" s="2"/>
      <x:c r="K41" s="2"/>
      <x:c r="L41" s="1"/>
      <x:c r="M41" s="1"/>
      <x:c r="N41" s="1"/>
      <x:c r="O41" s="1"/>
      <x:c r="P41" s="1"/>
      <x:c r="Q41" s="1"/>
    </x:row>
    <x:row r="42" ht="21" customHeight="1">
      <x:c r="A42" s="1"/>
      <x:c r="B42" s="1"/>
      <x:c r="C42" s="1"/>
      <x:c r="D42" s="1"/>
      <x:c r="E42" s="2"/>
      <x:c r="F42" s="2"/>
      <x:c r="G42" s="2"/>
      <x:c r="H42" s="2"/>
      <x:c r="I42" s="2"/>
      <x:c r="J42" s="2"/>
      <x:c r="K42" s="2"/>
      <x:c r="L42" s="1"/>
      <x:c r="M42" s="1"/>
      <x:c r="N42" s="1"/>
      <x:c r="O42" s="1"/>
      <x:c r="P42" s="1"/>
      <x:c r="Q42" s="1"/>
    </x:row>
    <x:row r="43" ht="21" customHeight="1">
      <x:c r="A43" s="1"/>
      <x:c r="B43" s="1"/>
      <x:c r="C43" s="1"/>
      <x:c r="D43" s="1"/>
      <x:c r="E43" s="2"/>
      <x:c r="F43" s="2"/>
      <x:c r="G43" s="2"/>
      <x:c r="H43" s="2"/>
      <x:c r="I43" s="2"/>
      <x:c r="J43" s="2"/>
      <x:c r="K43" s="2"/>
      <x:c r="L43" s="1"/>
      <x:c r="M43" s="1"/>
      <x:c r="N43" s="1"/>
      <x:c r="O43" s="1"/>
      <x:c r="P43" s="1"/>
      <x:c r="Q43" s="1"/>
    </x:row>
    <x:row r="44" ht="21" customHeight="1">
      <x:c r="A44" s="1"/>
      <x:c r="B44" s="1"/>
      <x:c r="C44" s="1"/>
      <x:c r="D44" s="1"/>
      <x:c r="E44" s="2"/>
      <x:c r="F44" s="2"/>
      <x:c r="G44" s="2"/>
      <x:c r="H44" s="2"/>
      <x:c r="I44" s="2"/>
      <x:c r="J44" s="2"/>
      <x:c r="K44" s="2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1"/>
      <x:c r="D45" s="1"/>
      <x:c r="E45" s="2"/>
      <x:c r="F45" s="2"/>
      <x:c r="G45" s="2"/>
      <x:c r="H45" s="2"/>
      <x:c r="I45" s="2"/>
      <x:c r="J45" s="2"/>
      <x:c r="K45" s="2"/>
      <x:c r="L45" s="1"/>
      <x:c r="M45" s="1"/>
      <x:c r="N45" s="1"/>
      <x:c r="O45" s="1"/>
      <x:c r="P45" s="1"/>
      <x:c r="Q45" s="1"/>
    </x:row>
    <x:row r="46" ht="21" customHeight="1">
      <x:c r="A46" s="1"/>
      <x:c r="B46" s="1"/>
      <x:c r="C46" s="1"/>
      <x:c r="D46" s="1"/>
      <x:c r="E46" s="2"/>
      <x:c r="F46" s="2"/>
      <x:c r="G46" s="2"/>
      <x:c r="H46" s="2"/>
      <x:c r="I46" s="2"/>
      <x:c r="J46" s="2"/>
      <x:c r="K46" s="2"/>
      <x:c r="L46" s="1"/>
      <x:c r="M46" s="1"/>
      <x:c r="N46" s="1"/>
      <x:c r="O46" s="1"/>
      <x:c r="P46" s="1"/>
      <x:c r="Q46" s="1"/>
    </x:row>
    <x:row r="47" ht="21" customHeight="1">
      <x:c r="A47" s="1"/>
      <x:c r="B47" s="1"/>
      <x:c r="C47" s="1"/>
      <x:c r="D47" s="1"/>
      <x:c r="E47" s="2"/>
      <x:c r="F47" s="2"/>
      <x:c r="G47" s="2"/>
      <x:c r="H47" s="2"/>
      <x:c r="I47" s="2"/>
      <x:c r="J47" s="2"/>
      <x:c r="K47" s="2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2"/>
      <x:c r="F48" s="2"/>
      <x:c r="G48" s="2"/>
      <x:c r="H48" s="2"/>
      <x:c r="I48" s="2"/>
      <x:c r="J48" s="2"/>
      <x:c r="K48" s="2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2"/>
      <x:c r="F49" s="2"/>
      <x:c r="G49" s="2"/>
      <x:c r="H49" s="2"/>
      <x:c r="I49" s="2"/>
      <x:c r="J49" s="2"/>
      <x:c r="K49" s="2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/>
      <x:c r="D50" s="1"/>
      <x:c r="E50" s="2"/>
      <x:c r="F50" s="2"/>
      <x:c r="G50" s="2"/>
      <x:c r="H50" s="2"/>
      <x:c r="I50" s="2"/>
      <x:c r="J50" s="2"/>
      <x:c r="K50" s="2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/>
      <x:c r="D51" s="1"/>
      <x:c r="E51" s="2"/>
      <x:c r="F51" s="2"/>
      <x:c r="G51" s="2"/>
      <x:c r="H51" s="2"/>
      <x:c r="I51" s="2"/>
      <x:c r="J51" s="2"/>
      <x:c r="K51" s="2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/>
      <x:c r="D52" s="1"/>
      <x:c r="E52" s="2"/>
      <x:c r="F52" s="2"/>
      <x:c r="G52" s="2"/>
      <x:c r="H52" s="2"/>
      <x:c r="I52" s="2"/>
      <x:c r="J52" s="2"/>
      <x:c r="K52" s="2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2"/>
      <x:c r="F53" s="2"/>
      <x:c r="G53" s="2"/>
      <x:c r="H53" s="2"/>
      <x:c r="I53" s="2"/>
      <x:c r="J53" s="2"/>
      <x:c r="K53" s="2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2"/>
      <x:c r="F54" s="2"/>
      <x:c r="G54" s="2"/>
      <x:c r="H54" s="2"/>
      <x:c r="I54" s="2"/>
      <x:c r="J54" s="2"/>
      <x:c r="K54" s="2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2"/>
      <x:c r="F55" s="2"/>
      <x:c r="G55" s="2"/>
      <x:c r="H55" s="2"/>
      <x:c r="I55" s="2"/>
      <x:c r="J55" s="2"/>
      <x:c r="K55" s="2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2"/>
      <x:c r="F56" s="2"/>
      <x:c r="G56" s="2"/>
      <x:c r="H56" s="2"/>
      <x:c r="I56" s="2"/>
      <x:c r="J56" s="2"/>
      <x:c r="K56" s="2"/>
      <x:c r="L56" s="1"/>
      <x:c r="M56" s="1"/>
      <x:c r="N56" s="1"/>
      <x:c r="O56" s="1"/>
      <x:c r="P56" s="1"/>
      <x:c r="Q56" s="1"/>
    </x:row>
    <x:row r="57" ht="21" customHeight="1">
      <x:c r="A57" s="1"/>
      <x:c r="B57" s="1"/>
      <x:c r="C57" s="1"/>
      <x:c r="D57" s="1"/>
      <x:c r="E57" s="2"/>
      <x:c r="F57" s="2"/>
      <x:c r="G57" s="2"/>
      <x:c r="H57" s="2"/>
      <x:c r="I57" s="2"/>
      <x:c r="J57" s="2"/>
      <x:c r="K57" s="2"/>
      <x:c r="L57" s="1"/>
      <x:c r="M57" s="1"/>
      <x:c r="N57" s="1"/>
      <x:c r="O57" s="1"/>
      <x:c r="P57" s="1"/>
      <x:c r="Q57" s="1"/>
    </x:row>
    <x:row r="58" ht="21" customHeight="1">
      <x:c r="A58" s="1"/>
      <x:c r="B58" s="1"/>
      <x:c r="C58" s="1"/>
      <x:c r="D58" s="1"/>
      <x:c r="E58" s="2"/>
      <x:c r="F58" s="2"/>
      <x:c r="G58" s="2"/>
      <x:c r="H58" s="2"/>
      <x:c r="I58" s="2"/>
      <x:c r="J58" s="2"/>
      <x:c r="K58" s="2"/>
      <x:c r="L58" s="1"/>
      <x:c r="M58" s="1"/>
      <x:c r="N58" s="1"/>
      <x:c r="O58" s="1"/>
      <x:c r="P58" s="1"/>
      <x:c r="Q58" s="1"/>
    </x:row>
    <x:row r="59" ht="21" customHeight="1">
      <x:c r="A59" s="1"/>
      <x:c r="B59" s="1"/>
      <x:c r="C59" s="1"/>
      <x:c r="D59" s="1"/>
      <x:c r="E59" s="2"/>
      <x:c r="F59" s="2"/>
      <x:c r="G59" s="2"/>
      <x:c r="H59" s="2"/>
      <x:c r="I59" s="2"/>
      <x:c r="J59" s="2"/>
      <x:c r="K59" s="2"/>
      <x:c r="L59" s="1"/>
      <x:c r="M59" s="1"/>
      <x:c r="N59" s="1"/>
      <x:c r="O59" s="1"/>
      <x:c r="P59" s="1"/>
      <x:c r="Q59" s="1"/>
    </x:row>
    <x:row r="60" ht="21" customHeight="1">
      <x:c r="A60" s="1"/>
      <x:c r="B60" s="1"/>
      <x:c r="C60" s="1"/>
      <x:c r="D60" s="1"/>
      <x:c r="E60" s="2"/>
      <x:c r="F60" s="2"/>
      <x:c r="G60" s="2"/>
      <x:c r="H60" s="2"/>
      <x:c r="I60" s="2"/>
      <x:c r="J60" s="2"/>
      <x:c r="K60" s="2"/>
      <x:c r="L60" s="1"/>
      <x:c r="M60" s="1"/>
      <x:c r="N60" s="1"/>
      <x:c r="O60" s="1"/>
      <x:c r="P60" s="1"/>
      <x:c r="Q60" s="1"/>
    </x:row>
    <x:row r="61" ht="21" customHeight="1">
      <x:c r="A61" s="1"/>
      <x:c r="B61" s="1"/>
      <x:c r="C61" s="1"/>
      <x:c r="D61" s="1"/>
      <x:c r="E61" s="2"/>
      <x:c r="F61" s="2"/>
      <x:c r="G61" s="2"/>
      <x:c r="H61" s="2"/>
      <x:c r="I61" s="2"/>
      <x:c r="J61" s="2"/>
      <x:c r="K61" s="2"/>
      <x:c r="L61" s="1"/>
      <x:c r="M61" s="1"/>
      <x:c r="N61" s="1"/>
      <x:c r="O61" s="1"/>
      <x:c r="P61" s="1"/>
      <x:c r="Q61" s="1"/>
    </x:row>
    <x:row r="62" ht="21" customHeight="1">
      <x:c r="A62" s="1"/>
      <x:c r="B62" s="1"/>
      <x:c r="C62" s="1"/>
      <x:c r="D62" s="1"/>
      <x:c r="E62" s="2"/>
      <x:c r="F62" s="2"/>
      <x:c r="G62" s="2"/>
      <x:c r="H62" s="2"/>
      <x:c r="I62" s="2"/>
      <x:c r="J62" s="2"/>
      <x:c r="K62" s="2"/>
      <x:c r="L62" s="1"/>
      <x:c r="M62" s="1"/>
      <x:c r="N62" s="1"/>
      <x:c r="O62" s="1"/>
      <x:c r="P62" s="1"/>
      <x:c r="Q62" s="1"/>
    </x:row>
    <x:row r="63" ht="21" customHeight="1">
      <x:c r="A63" s="1"/>
      <x:c r="B63" s="1"/>
      <x:c r="C63" s="1"/>
      <x:c r="D63" s="1"/>
      <x:c r="E63" s="2"/>
      <x:c r="F63" s="2"/>
      <x:c r="G63" s="2"/>
      <x:c r="H63" s="2"/>
      <x:c r="I63" s="2"/>
      <x:c r="J63" s="2"/>
      <x:c r="K63" s="2"/>
      <x:c r="L63" s="1"/>
      <x:c r="M63" s="1"/>
      <x:c r="N63" s="1"/>
      <x:c r="O63" s="1"/>
      <x:c r="P63" s="1"/>
      <x:c r="Q63" s="1"/>
    </x:row>
    <x:row r="64" ht="21" customHeight="1">
      <x:c r="A64" s="1"/>
      <x:c r="B64" s="1"/>
      <x:c r="C64" s="1"/>
      <x:c r="D64" s="1"/>
      <x:c r="E64" s="2"/>
      <x:c r="F64" s="2"/>
      <x:c r="G64" s="2"/>
      <x:c r="H64" s="2"/>
      <x:c r="I64" s="2"/>
      <x:c r="J64" s="2"/>
      <x:c r="K64" s="2"/>
      <x:c r="L64" s="1"/>
      <x:c r="M64" s="1"/>
      <x:c r="N64" s="1"/>
      <x:c r="O64" s="1"/>
      <x:c r="P64" s="1"/>
      <x:c r="Q64" s="1"/>
    </x:row>
    <x:row r="65" ht="21" customHeight="1">
      <x:c r="A65" s="1"/>
      <x:c r="B65" s="1"/>
      <x:c r="C65" s="1"/>
      <x:c r="D65" s="1"/>
      <x:c r="E65" s="2"/>
      <x:c r="F65" s="2"/>
      <x:c r="G65" s="2"/>
      <x:c r="H65" s="2"/>
      <x:c r="I65" s="2"/>
      <x:c r="J65" s="2"/>
      <x:c r="K65" s="2"/>
      <x:c r="L65" s="1"/>
      <x:c r="M65" s="1"/>
      <x:c r="N65" s="1"/>
      <x:c r="O65" s="1"/>
      <x:c r="P65" s="1"/>
      <x:c r="Q65" s="1"/>
    </x:row>
  </x:sheetData>
  <x:dataValidations count="1">
    <x:dataValidation type="whole" operator="between" sqref="D3">
      <x:formula1>1</x:formula1>
      <x:formula2>2</x:formula2>
    </x:dataValidation>
  </x:dataValidations>
  <x:pageMargins left="0.7" right="0.7" top="0.75" bottom="0.75" header="0.3" footer="0.3"/>
</x:worksheet>
</file>